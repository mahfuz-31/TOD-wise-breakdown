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1. Work\3. Half Monthly\TOD wise breakdown\"/>
    </mc:Choice>
  </mc:AlternateContent>
  <xr:revisionPtr revIDLastSave="0" documentId="13_ncr:1_{58388732-D0FB-41FD-9143-41D3AF789368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3" r:id="rId1"/>
  </sheets>
  <definedNames>
    <definedName name="_xlnm._FilterDatabase" localSheetId="0" hidden="1">Sheet1!$B$3:$M$40</definedName>
    <definedName name="_xlnm.Print_Area" localSheetId="0">Sheet1!$A$1:$M$40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3" l="1"/>
  <c r="D20" i="3"/>
  <c r="E20" i="3"/>
  <c r="F20" i="3"/>
  <c r="G20" i="3"/>
  <c r="H20" i="3"/>
  <c r="I20" i="3"/>
  <c r="J20" i="3"/>
  <c r="K20" i="3"/>
  <c r="L20" i="3"/>
  <c r="M6" i="3"/>
  <c r="M7" i="3"/>
  <c r="M8" i="3"/>
  <c r="M9" i="3"/>
  <c r="M10" i="3"/>
  <c r="M11" i="3"/>
  <c r="M36" i="3"/>
  <c r="M37" i="3"/>
  <c r="M1" i="3"/>
  <c r="M28" i="3"/>
  <c r="M29" i="3"/>
  <c r="M30" i="3"/>
  <c r="M31" i="3"/>
  <c r="M32" i="3"/>
  <c r="M33" i="3"/>
  <c r="M34" i="3"/>
  <c r="M35" i="3"/>
  <c r="M38" i="3"/>
  <c r="M39" i="3"/>
  <c r="H26" i="3"/>
  <c r="H13" i="3"/>
  <c r="M23" i="3"/>
  <c r="H4" i="3"/>
  <c r="M21" i="3"/>
  <c r="M22" i="3"/>
  <c r="H40" i="3" l="1"/>
  <c r="M24" i="3"/>
  <c r="M25" i="3"/>
  <c r="L26" i="3"/>
  <c r="E26" i="3"/>
  <c r="D26" i="3"/>
  <c r="G26" i="3"/>
  <c r="J26" i="3"/>
  <c r="J40" i="3" s="1"/>
  <c r="I26" i="3"/>
  <c r="C26" i="3"/>
  <c r="K26" i="3"/>
  <c r="F26" i="3"/>
  <c r="M19" i="3"/>
  <c r="M15" i="3"/>
  <c r="M16" i="3"/>
  <c r="L13" i="3"/>
  <c r="K13" i="3"/>
  <c r="J13" i="3"/>
  <c r="I13" i="3"/>
  <c r="M17" i="3"/>
  <c r="L4" i="3"/>
  <c r="K4" i="3"/>
  <c r="J4" i="3"/>
  <c r="I4" i="3"/>
  <c r="H3" i="3" s="1"/>
  <c r="G4" i="3"/>
  <c r="F4" i="3"/>
  <c r="E4" i="3"/>
  <c r="D4" i="3"/>
  <c r="C4" i="3"/>
  <c r="C3" i="3" s="1"/>
  <c r="C13" i="3"/>
  <c r="D13" i="3"/>
  <c r="E13" i="3"/>
  <c r="M27" i="3"/>
  <c r="F13" i="3"/>
  <c r="M18" i="3"/>
  <c r="M14" i="3"/>
  <c r="G13" i="3"/>
  <c r="D40" i="3" l="1"/>
  <c r="L40" i="3"/>
  <c r="K40" i="3"/>
  <c r="G40" i="3"/>
  <c r="C40" i="3"/>
  <c r="F40" i="3"/>
  <c r="I40" i="3"/>
  <c r="E40" i="3"/>
  <c r="M20" i="3"/>
  <c r="D3" i="3"/>
  <c r="M3" i="3"/>
  <c r="M26" i="3"/>
  <c r="M13" i="3"/>
  <c r="M40" i="3" l="1"/>
</calcChain>
</file>

<file path=xl/sharedStrings.xml><?xml version="1.0" encoding="utf-8"?>
<sst xmlns="http://schemas.openxmlformats.org/spreadsheetml/2006/main" count="52" uniqueCount="50">
  <si>
    <t>Factory-wise Breakdown: </t>
  </si>
  <si>
    <t>Grand Total</t>
  </si>
  <si>
    <t>Factory</t>
  </si>
  <si>
    <t>On-ward</t>
  </si>
  <si>
    <t>Total</t>
  </si>
  <si>
    <t>JAL</t>
  </si>
  <si>
    <t>JFL</t>
  </si>
  <si>
    <t>JKL</t>
  </si>
  <si>
    <t>MFL</t>
  </si>
  <si>
    <t>FFL2</t>
  </si>
  <si>
    <t>Marketing Head wise Breakdown:</t>
  </si>
  <si>
    <t>Babu Sir</t>
  </si>
  <si>
    <t>Total:</t>
  </si>
  <si>
    <t>Mosharraf Sir</t>
  </si>
  <si>
    <t>Shuzon Sir</t>
  </si>
  <si>
    <t>MQ MARQET AB</t>
  </si>
  <si>
    <t>NEW FRONTIER</t>
  </si>
  <si>
    <t>PUMA</t>
  </si>
  <si>
    <t>INDISKA</t>
  </si>
  <si>
    <t>ASDA STORE LTD.</t>
  </si>
  <si>
    <t>BESTSELLER A/S</t>
  </si>
  <si>
    <t>C &amp; A BUYING GMBH &amp; CO. KG</t>
  </si>
  <si>
    <t>G-STAR RAW CV</t>
  </si>
  <si>
    <t>GUESS EUROPE SAGL</t>
  </si>
  <si>
    <t>H &amp; M HENNES &amp; MAURITAZ GBC AB</t>
  </si>
  <si>
    <t>HUGO BOSS AG</t>
  </si>
  <si>
    <t>KMART AUSTRALIA LIMITED</t>
  </si>
  <si>
    <t>NEXT SOURCING LTD.</t>
  </si>
  <si>
    <t>Ralph Lauren Corporation</t>
  </si>
  <si>
    <t>VF CORPORATION</t>
  </si>
  <si>
    <t>VOGUE SOURCING LIMITED</t>
  </si>
  <si>
    <t>ZLABELS GMBH</t>
  </si>
  <si>
    <t>BONITA GMBS &amp; CO. KG</t>
  </si>
  <si>
    <t>TOM TAILOR SOURCING LTD.</t>
  </si>
  <si>
    <t>OCHNIK</t>
  </si>
  <si>
    <t>ITX LADIES</t>
  </si>
  <si>
    <t>ITX KIDS</t>
  </si>
  <si>
    <t>JKL2</t>
  </si>
  <si>
    <t>ESPRIT MACAO COMMERCIAL OFFSHORE LTD.</t>
  </si>
  <si>
    <t>CAMEL ACTIVE / BHB-Fashion Service Gmbh</t>
  </si>
  <si>
    <t>Mar-25 Sewing Plan analysis</t>
  </si>
  <si>
    <t>Before Apr</t>
  </si>
  <si>
    <t>1-7/Apr</t>
  </si>
  <si>
    <t>8-15/Apr</t>
  </si>
  <si>
    <t>16-23/Apr</t>
  </si>
  <si>
    <t>24-30/Apr</t>
  </si>
  <si>
    <t>1-5/May</t>
  </si>
  <si>
    <t>6-10/May</t>
  </si>
  <si>
    <t>11-20/May</t>
  </si>
  <si>
    <t>21-31/May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</si>
</sst>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[$-409]dd/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8"/>
      <color theme="3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3" fontId="3" fillId="3" borderId="2" xfId="0" applyNumberFormat="1" applyFont="1" applyFill="1" applyBorder="1"/>
    <xf numFmtId="3" fontId="2" fillId="2" borderId="2" xfId="0" applyNumberFormat="1" applyFont="1" applyFill="1" applyBorder="1"/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quotePrefix="1" applyFont="1" applyFill="1" applyBorder="1" applyAlignment="1">
      <alignment horizontal="center" vertical="center"/>
    </xf>
    <xf numFmtId="164" fontId="1" fillId="0" borderId="2" xfId="0" applyNumberFormat="1" applyFont="1" applyBorder="1"/>
    <xf numFmtId="164" fontId="1" fillId="4" borderId="2" xfId="0" applyNumberFormat="1" applyFont="1" applyFill="1" applyBorder="1"/>
    <xf numFmtId="164" fontId="1" fillId="5" borderId="2" xfId="0" applyNumberFormat="1" applyFont="1" applyFill="1" applyBorder="1"/>
    <xf numFmtId="0" fontId="1" fillId="5" borderId="2" xfId="0" applyFont="1" applyFill="1" applyBorder="1"/>
    <xf numFmtId="3" fontId="1" fillId="0" borderId="0" xfId="0" applyNumberFormat="1" applyFont="1"/>
    <xf numFmtId="0" fontId="2" fillId="2" borderId="2" xfId="0" applyFont="1" applyFill="1" applyBorder="1"/>
    <xf numFmtId="0" fontId="1" fillId="0" borderId="2" xfId="0" applyFont="1" applyBorder="1"/>
    <xf numFmtId="164" fontId="2" fillId="2" borderId="2" xfId="0" applyNumberFormat="1" applyFont="1" applyFill="1" applyBorder="1"/>
    <xf numFmtId="165" fontId="2" fillId="0" borderId="0" xfId="0" applyNumberFormat="1" applyFont="1"/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1" applyAlignment="1">
      <alignment horizontal="center"/>
    </xf>
    <xf numFmtId="3" fontId="3" fillId="3" borderId="2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3" fillId="3" borderId="5" xfId="0" applyNumberFormat="1" applyFont="1" applyFill="1" applyBorder="1" applyAlignment="1">
      <alignment horizontal="center"/>
    </xf>
    <xf numFmtId="3" fontId="3" fillId="3" borderId="6" xfId="0" applyNumberFormat="1" applyFont="1" applyFill="1" applyBorder="1" applyAlignment="1">
      <alignment horizontal="center"/>
    </xf>
    <xf numFmtId="3" fontId="3" fillId="3" borderId="7" xfId="0" applyNumberFormat="1" applyFont="1" applyFill="1" applyBorder="1" applyAlignment="1">
      <alignment horizontal="center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5054-7C41-45CF-8112-54B1CD6DB812}">
  <dimension ref="A1:M40"/>
  <sheetViews>
    <sheetView tabSelected="1" topLeftCell="A13" zoomScaleNormal="100" workbookViewId="0">
      <selection activeCell="H40" sqref="H40"/>
    </sheetView>
  </sheetViews>
  <sheetFormatPr defaultRowHeight="15" x14ac:dyDescent="0.25"/>
  <cols>
    <col min="1" max="1" width="12" style="1" customWidth="1"/>
    <col min="2" max="2" width="26.7109375" style="1" customWidth="1"/>
    <col min="3" max="3" width="14.7109375" style="1" customWidth="1"/>
    <col min="4" max="4" width="13.7109375" style="1" customWidth="1"/>
    <col min="5" max="5" width="12" style="1" bestFit="1" customWidth="1"/>
    <col min="6" max="7" width="13.28515625" style="1" bestFit="1" customWidth="1"/>
    <col min="8" max="8" width="11.5703125" style="1" bestFit="1" customWidth="1"/>
    <col min="9" max="9" width="12.28515625" style="1" bestFit="1" customWidth="1"/>
    <col min="10" max="11" width="13.5703125" style="1" bestFit="1" customWidth="1"/>
    <col min="12" max="12" width="13" style="1" customWidth="1"/>
    <col min="13" max="13" width="16.42578125" style="1" customWidth="1"/>
    <col min="14" max="16384" width="9.140625" style="1"/>
  </cols>
  <sheetData>
    <row r="1" spans="1:13" ht="23.25" x14ac:dyDescent="0.35">
      <c r="B1" s="23" t="s">
        <v>40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16">
        <f ca="1">TODAY()</f>
        <v>45732</v>
      </c>
    </row>
    <row r="2" spans="1:13" x14ac:dyDescent="0.25">
      <c r="A2" s="2" t="s">
        <v>0</v>
      </c>
    </row>
    <row r="3" spans="1:13" ht="15.75" x14ac:dyDescent="0.25">
      <c r="B3" s="18" t="s">
        <v>1</v>
      </c>
      <c r="C3" s="3">
        <f>C4</f>
        <v>1428327</v>
      </c>
      <c r="D3" s="24">
        <f>SUM(D4:G4)</f>
        <v>7679553</v>
      </c>
      <c r="E3" s="24"/>
      <c r="F3" s="24"/>
      <c r="G3" s="24"/>
      <c r="H3" s="29">
        <f>SUM(H4:K4)</f>
        <v>825689</v>
      </c>
      <c r="I3" s="30"/>
      <c r="J3" s="30"/>
      <c r="K3" s="31"/>
      <c r="L3" s="3"/>
      <c r="M3" s="19">
        <f>SUM(M6:M11)</f>
        <v>9953257</v>
      </c>
    </row>
    <row r="4" spans="1:13" x14ac:dyDescent="0.25">
      <c r="B4" s="18"/>
      <c r="C4" s="4">
        <f>SUM(C6:C11)</f>
        <v>1428327</v>
      </c>
      <c r="D4" s="4">
        <f t="shared" ref="D4:I4" si="0">SUM(D6:D11)</f>
        <v>1646753</v>
      </c>
      <c r="E4" s="4">
        <f t="shared" si="0"/>
        <v>1912472</v>
      </c>
      <c r="F4" s="4">
        <f t="shared" si="0"/>
        <v>2535965</v>
      </c>
      <c r="G4" s="4">
        <f t="shared" si="0"/>
        <v>1584363</v>
      </c>
      <c r="H4" s="4">
        <f t="shared" si="0"/>
        <v>698975</v>
      </c>
      <c r="I4" s="4">
        <f t="shared" si="0"/>
        <v>64042</v>
      </c>
      <c r="J4" s="4">
        <f>SUM(J6:J11)</f>
        <v>30425</v>
      </c>
      <c r="K4" s="4">
        <f>SUM(K6:K11)</f>
        <v>32247</v>
      </c>
      <c r="L4" s="4">
        <f>SUM(L6:L11)</f>
        <v>19688</v>
      </c>
      <c r="M4" s="19"/>
    </row>
    <row r="5" spans="1:13" ht="15.75" customHeight="1" x14ac:dyDescent="0.25">
      <c r="B5" s="5" t="s">
        <v>2</v>
      </c>
      <c r="C5" s="6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3</v>
      </c>
      <c r="M5" s="5" t="s">
        <v>4</v>
      </c>
    </row>
    <row r="6" spans="1:13" x14ac:dyDescent="0.25">
      <c r="B6" s="14" t="s">
        <v>5</v>
      </c>
      <c r="C6" s="8">
        <v>67348</v>
      </c>
      <c r="D6" s="9">
        <v>59935</v>
      </c>
      <c r="E6" s="9">
        <v>537248</v>
      </c>
      <c r="F6" s="9">
        <v>476208</v>
      </c>
      <c r="G6" s="9">
        <v>207821</v>
      </c>
      <c r="H6" s="8">
        <v>191431</v>
      </c>
      <c r="I6" s="8">
        <v>7686</v>
      </c>
      <c r="J6" s="8">
        <v>10415</v>
      </c>
      <c r="K6" s="8">
        <v>7990</v>
      </c>
      <c r="L6" s="8">
        <v>6563</v>
      </c>
      <c r="M6" s="9">
        <f t="shared" ref="M6:M11" si="1">SUM(C6:L6)</f>
        <v>1572645</v>
      </c>
    </row>
    <row r="7" spans="1:13" x14ac:dyDescent="0.25">
      <c r="B7" s="11" t="s">
        <v>6</v>
      </c>
      <c r="C7" s="10">
        <v>4186</v>
      </c>
      <c r="D7" s="10">
        <v>630374</v>
      </c>
      <c r="E7" s="10">
        <v>161548</v>
      </c>
      <c r="F7" s="10">
        <v>320237</v>
      </c>
      <c r="G7" s="10">
        <v>56543</v>
      </c>
      <c r="H7" s="10">
        <v>241836</v>
      </c>
      <c r="I7" s="10"/>
      <c r="J7" s="11">
        <v>4971</v>
      </c>
      <c r="K7" s="10"/>
      <c r="L7" s="10"/>
      <c r="M7" s="10">
        <f t="shared" si="1"/>
        <v>1419695</v>
      </c>
    </row>
    <row r="8" spans="1:13" x14ac:dyDescent="0.25">
      <c r="B8" s="14" t="s">
        <v>7</v>
      </c>
      <c r="C8" s="8">
        <v>652977</v>
      </c>
      <c r="D8" s="9">
        <v>210042</v>
      </c>
      <c r="E8" s="9">
        <v>186320</v>
      </c>
      <c r="F8" s="9">
        <v>392734</v>
      </c>
      <c r="G8" s="9">
        <v>119044</v>
      </c>
      <c r="H8" s="8">
        <v>28964</v>
      </c>
      <c r="I8" s="8"/>
      <c r="J8" s="8">
        <v>1310</v>
      </c>
      <c r="K8" s="8"/>
      <c r="L8" s="8">
        <v>900</v>
      </c>
      <c r="M8" s="9">
        <f t="shared" si="1"/>
        <v>1592291</v>
      </c>
    </row>
    <row r="9" spans="1:13" x14ac:dyDescent="0.25">
      <c r="B9" s="11" t="s">
        <v>8</v>
      </c>
      <c r="C9" s="10">
        <v>269030</v>
      </c>
      <c r="D9" s="10">
        <v>303871</v>
      </c>
      <c r="E9" s="10">
        <v>211826</v>
      </c>
      <c r="F9" s="10">
        <v>271355</v>
      </c>
      <c r="G9" s="10">
        <v>191418</v>
      </c>
      <c r="H9" s="10">
        <v>52213</v>
      </c>
      <c r="I9" s="10">
        <v>24710</v>
      </c>
      <c r="J9" s="11">
        <v>7218</v>
      </c>
      <c r="K9" s="10">
        <v>20965</v>
      </c>
      <c r="L9" s="10">
        <v>7848</v>
      </c>
      <c r="M9" s="10">
        <f t="shared" si="1"/>
        <v>1360454</v>
      </c>
    </row>
    <row r="10" spans="1:13" x14ac:dyDescent="0.25">
      <c r="B10" s="14" t="s">
        <v>9</v>
      </c>
      <c r="C10" s="8">
        <v>24706</v>
      </c>
      <c r="D10" s="9">
        <v>140185</v>
      </c>
      <c r="E10" s="9">
        <v>484197</v>
      </c>
      <c r="F10" s="9">
        <v>358310</v>
      </c>
      <c r="G10" s="9">
        <v>533988</v>
      </c>
      <c r="H10" s="8">
        <v>103044</v>
      </c>
      <c r="I10" s="8">
        <v>18186</v>
      </c>
      <c r="J10" s="8">
        <v>6511</v>
      </c>
      <c r="K10" s="8">
        <v>3292</v>
      </c>
      <c r="L10" s="8">
        <v>4377</v>
      </c>
      <c r="M10" s="9">
        <f t="shared" si="1"/>
        <v>1676796</v>
      </c>
    </row>
    <row r="11" spans="1:13" x14ac:dyDescent="0.25">
      <c r="B11" s="11" t="s">
        <v>37</v>
      </c>
      <c r="C11" s="10">
        <v>410080</v>
      </c>
      <c r="D11" s="10">
        <v>302346</v>
      </c>
      <c r="E11" s="10">
        <v>331333</v>
      </c>
      <c r="F11" s="10">
        <v>717121</v>
      </c>
      <c r="G11" s="10">
        <v>475549</v>
      </c>
      <c r="H11" s="10">
        <v>81487</v>
      </c>
      <c r="I11" s="10">
        <v>13460</v>
      </c>
      <c r="J11" s="11"/>
      <c r="K11" s="10"/>
      <c r="L11" s="10"/>
      <c r="M11" s="10">
        <f t="shared" si="1"/>
        <v>2331376</v>
      </c>
    </row>
    <row r="12" spans="1:13" ht="25.5" customHeight="1" x14ac:dyDescent="0.25">
      <c r="A12" s="25" t="s">
        <v>10</v>
      </c>
      <c r="B12" s="25"/>
      <c r="C12" s="25"/>
      <c r="D12" s="12"/>
      <c r="E12" s="12"/>
      <c r="F12" s="12"/>
      <c r="G12" s="12"/>
      <c r="H12" s="12"/>
      <c r="I12" s="12"/>
      <c r="J12" s="12"/>
      <c r="K12" s="12"/>
      <c r="L12" s="12"/>
    </row>
    <row r="13" spans="1:13" x14ac:dyDescent="0.25">
      <c r="A13" s="20" t="s">
        <v>11</v>
      </c>
      <c r="B13" s="13" t="s">
        <v>12</v>
      </c>
      <c r="C13" s="4">
        <f t="shared" ref="C13:M13" si="2">SUM(C14:C19)</f>
        <v>282173</v>
      </c>
      <c r="D13" s="4">
        <f t="shared" si="2"/>
        <v>1032636</v>
      </c>
      <c r="E13" s="4">
        <f t="shared" si="2"/>
        <v>399519</v>
      </c>
      <c r="F13" s="4">
        <f t="shared" si="2"/>
        <v>576918</v>
      </c>
      <c r="G13" s="4">
        <f t="shared" si="2"/>
        <v>270110</v>
      </c>
      <c r="H13" s="4">
        <f>SUM(H14:H19)</f>
        <v>393497</v>
      </c>
      <c r="I13" s="4">
        <f t="shared" si="2"/>
        <v>28720</v>
      </c>
      <c r="J13" s="4">
        <f t="shared" si="2"/>
        <v>12189</v>
      </c>
      <c r="K13" s="4">
        <f t="shared" si="2"/>
        <v>28955</v>
      </c>
      <c r="L13" s="4">
        <f t="shared" si="2"/>
        <v>11848</v>
      </c>
      <c r="M13" s="4">
        <f t="shared" si="2"/>
        <v>3036565</v>
      </c>
    </row>
    <row r="14" spans="1:13" x14ac:dyDescent="0.25">
      <c r="A14" s="21"/>
      <c r="B14" s="14" t="s">
        <v>19</v>
      </c>
      <c r="C14" s="8">
        <v>84212</v>
      </c>
      <c r="D14" s="9">
        <v>556581</v>
      </c>
      <c r="E14" s="9">
        <v>265098</v>
      </c>
      <c r="F14" s="9">
        <v>282402</v>
      </c>
      <c r="G14" s="9">
        <v>179886</v>
      </c>
      <c r="H14" s="8">
        <v>359130</v>
      </c>
      <c r="I14" s="8">
        <v>24726</v>
      </c>
      <c r="J14" s="8">
        <v>4971</v>
      </c>
      <c r="K14" s="8">
        <v>7990</v>
      </c>
      <c r="L14" s="8">
        <v>4000</v>
      </c>
      <c r="M14" s="9">
        <f t="shared" ref="M14:M19" si="3">SUM(C14:L14)</f>
        <v>1768996</v>
      </c>
    </row>
    <row r="15" spans="1:13" x14ac:dyDescent="0.25">
      <c r="A15" s="21"/>
      <c r="B15" s="11" t="s">
        <v>20</v>
      </c>
      <c r="C15" s="10">
        <v>667</v>
      </c>
      <c r="D15" s="10">
        <v>305698</v>
      </c>
      <c r="E15" s="10">
        <v>10794</v>
      </c>
      <c r="F15" s="10">
        <v>134430</v>
      </c>
      <c r="G15" s="10"/>
      <c r="H15" s="10">
        <v>34367</v>
      </c>
      <c r="I15" s="10"/>
      <c r="J15" s="10"/>
      <c r="K15" s="10"/>
      <c r="L15" s="10"/>
      <c r="M15" s="10">
        <f t="shared" si="3"/>
        <v>485956</v>
      </c>
    </row>
    <row r="16" spans="1:13" x14ac:dyDescent="0.25">
      <c r="A16" s="21"/>
      <c r="B16" s="14" t="s">
        <v>26</v>
      </c>
      <c r="C16" s="8"/>
      <c r="D16" s="9">
        <v>9750</v>
      </c>
      <c r="E16" s="9">
        <v>20394</v>
      </c>
      <c r="F16" s="9">
        <v>19488</v>
      </c>
      <c r="G16" s="9">
        <v>17994</v>
      </c>
      <c r="H16" s="8"/>
      <c r="I16" s="8"/>
      <c r="J16" s="8"/>
      <c r="K16" s="8"/>
      <c r="L16" s="8"/>
      <c r="M16" s="9">
        <f t="shared" si="3"/>
        <v>67626</v>
      </c>
    </row>
    <row r="17" spans="1:13" x14ac:dyDescent="0.25">
      <c r="A17" s="21"/>
      <c r="B17" s="11" t="s">
        <v>29</v>
      </c>
      <c r="C17" s="10">
        <v>197294</v>
      </c>
      <c r="D17" s="10">
        <v>160607</v>
      </c>
      <c r="E17" s="10">
        <v>103233</v>
      </c>
      <c r="F17" s="10">
        <v>140598</v>
      </c>
      <c r="G17" s="10">
        <v>72230</v>
      </c>
      <c r="H17" s="10"/>
      <c r="I17" s="10">
        <v>3994</v>
      </c>
      <c r="J17" s="10">
        <v>7218</v>
      </c>
      <c r="K17" s="10">
        <v>20965</v>
      </c>
      <c r="L17" s="10">
        <v>7848</v>
      </c>
      <c r="M17" s="10">
        <f t="shared" si="3"/>
        <v>713987</v>
      </c>
    </row>
    <row r="18" spans="1:13" x14ac:dyDescent="0.25">
      <c r="A18" s="21"/>
      <c r="B18" s="14" t="s">
        <v>31</v>
      </c>
      <c r="C18" s="8"/>
      <c r="D18" s="9"/>
      <c r="E18" s="9"/>
      <c r="F18" s="9"/>
      <c r="G18" s="9"/>
      <c r="H18" s="8"/>
      <c r="I18" s="8"/>
      <c r="J18" s="8"/>
      <c r="K18" s="8"/>
      <c r="L18" s="8"/>
      <c r="M18" s="9">
        <f t="shared" si="3"/>
        <v>0</v>
      </c>
    </row>
    <row r="19" spans="1:13" x14ac:dyDescent="0.25">
      <c r="A19" s="22"/>
      <c r="B19" s="11" t="s">
        <v>34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>
        <f t="shared" si="3"/>
        <v>0</v>
      </c>
    </row>
    <row r="20" spans="1:13" ht="15" customHeight="1" x14ac:dyDescent="0.25">
      <c r="A20" s="26" t="s">
        <v>13</v>
      </c>
      <c r="B20" s="13" t="s">
        <v>12</v>
      </c>
      <c r="C20" s="4">
        <f>SUM(C21:C25)</f>
        <v>510643</v>
      </c>
      <c r="D20" s="4">
        <f t="shared" ref="D20:L20" si="4">SUM(D21:D25)</f>
        <v>198426</v>
      </c>
      <c r="E20" s="4">
        <f t="shared" si="4"/>
        <v>1242954</v>
      </c>
      <c r="F20" s="4">
        <f t="shared" si="4"/>
        <v>1176074</v>
      </c>
      <c r="G20" s="4">
        <f t="shared" si="4"/>
        <v>1194351</v>
      </c>
      <c r="H20" s="4">
        <f t="shared" si="4"/>
        <v>238911</v>
      </c>
      <c r="I20" s="4">
        <f t="shared" si="4"/>
        <v>35322</v>
      </c>
      <c r="J20" s="4">
        <f t="shared" si="4"/>
        <v>16926</v>
      </c>
      <c r="K20" s="4">
        <f t="shared" si="4"/>
        <v>3292</v>
      </c>
      <c r="L20" s="4">
        <f t="shared" si="4"/>
        <v>6940</v>
      </c>
      <c r="M20" s="4">
        <f t="shared" ref="M20" si="5">SUM(M21:M25)</f>
        <v>4623839</v>
      </c>
    </row>
    <row r="21" spans="1:13" x14ac:dyDescent="0.25">
      <c r="A21" s="27"/>
      <c r="B21" s="14" t="s">
        <v>21</v>
      </c>
      <c r="C21" s="8">
        <v>451873</v>
      </c>
      <c r="D21" s="9"/>
      <c r="E21" s="9">
        <v>283459</v>
      </c>
      <c r="F21" s="9">
        <v>609906</v>
      </c>
      <c r="G21" s="9">
        <v>553421</v>
      </c>
      <c r="H21" s="8">
        <v>109563</v>
      </c>
      <c r="I21" s="8">
        <v>14669</v>
      </c>
      <c r="J21" s="8"/>
      <c r="K21" s="8"/>
      <c r="L21" s="8"/>
      <c r="M21" s="9">
        <f>SUM(C21:L21)</f>
        <v>2022891</v>
      </c>
    </row>
    <row r="22" spans="1:13" x14ac:dyDescent="0.25">
      <c r="A22" s="27"/>
      <c r="B22" s="11" t="s">
        <v>24</v>
      </c>
      <c r="C22" s="10">
        <v>41087</v>
      </c>
      <c r="D22" s="10">
        <v>196176</v>
      </c>
      <c r="E22" s="10">
        <v>959495</v>
      </c>
      <c r="F22" s="10">
        <v>566168</v>
      </c>
      <c r="G22" s="10">
        <v>608202</v>
      </c>
      <c r="H22" s="10">
        <v>129348</v>
      </c>
      <c r="I22" s="10">
        <v>20653</v>
      </c>
      <c r="J22" s="10">
        <v>16926</v>
      </c>
      <c r="K22" s="10">
        <v>3292</v>
      </c>
      <c r="L22" s="10">
        <v>6940</v>
      </c>
      <c r="M22" s="10">
        <f>SUM(C22:L22)</f>
        <v>2548287</v>
      </c>
    </row>
    <row r="23" spans="1:13" x14ac:dyDescent="0.25">
      <c r="A23" s="27"/>
      <c r="B23" s="14" t="s">
        <v>30</v>
      </c>
      <c r="C23" s="8">
        <v>17683</v>
      </c>
      <c r="D23" s="9">
        <v>2250</v>
      </c>
      <c r="E23" s="9"/>
      <c r="F23" s="9"/>
      <c r="G23" s="9">
        <v>32728</v>
      </c>
      <c r="H23" s="8"/>
      <c r="I23" s="8"/>
      <c r="J23" s="8"/>
      <c r="K23" s="8"/>
      <c r="L23" s="8"/>
      <c r="M23" s="9">
        <f>SUM(C23:L23)</f>
        <v>52661</v>
      </c>
    </row>
    <row r="24" spans="1:13" x14ac:dyDescent="0.25">
      <c r="A24" s="27"/>
      <c r="B24" s="11" t="s">
        <v>18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>
        <f>SUM(C24:L24)</f>
        <v>0</v>
      </c>
    </row>
    <row r="25" spans="1:13" x14ac:dyDescent="0.25">
      <c r="A25" s="28"/>
      <c r="B25" s="14" t="s">
        <v>36</v>
      </c>
      <c r="C25" s="8"/>
      <c r="D25" s="9"/>
      <c r="E25" s="9"/>
      <c r="F25" s="9"/>
      <c r="G25" s="9"/>
      <c r="H25" s="8"/>
      <c r="I25" s="8"/>
      <c r="J25" s="8"/>
      <c r="K25" s="8"/>
      <c r="L25" s="8"/>
      <c r="M25" s="9">
        <f>SUM(C25:L25)</f>
        <v>0</v>
      </c>
    </row>
    <row r="26" spans="1:13" x14ac:dyDescent="0.25">
      <c r="A26" s="17" t="s">
        <v>14</v>
      </c>
      <c r="B26" s="13" t="s">
        <v>12</v>
      </c>
      <c r="C26" s="4">
        <f t="shared" ref="C26:M26" si="6">SUM(C27:C39)</f>
        <v>635511</v>
      </c>
      <c r="D26" s="4">
        <f t="shared" si="6"/>
        <v>415692</v>
      </c>
      <c r="E26" s="4">
        <f t="shared" si="6"/>
        <v>269999</v>
      </c>
      <c r="F26" s="4">
        <f t="shared" si="6"/>
        <v>782972</v>
      </c>
      <c r="G26" s="4">
        <f t="shared" si="6"/>
        <v>119902</v>
      </c>
      <c r="H26" s="4">
        <f t="shared" si="6"/>
        <v>42894</v>
      </c>
      <c r="I26" s="4">
        <f t="shared" si="6"/>
        <v>0</v>
      </c>
      <c r="J26" s="4">
        <f t="shared" si="6"/>
        <v>1310</v>
      </c>
      <c r="K26" s="4">
        <f t="shared" si="6"/>
        <v>0</v>
      </c>
      <c r="L26" s="4">
        <f t="shared" si="6"/>
        <v>900</v>
      </c>
      <c r="M26" s="4">
        <f t="shared" si="6"/>
        <v>2269180</v>
      </c>
    </row>
    <row r="27" spans="1:13" x14ac:dyDescent="0.25">
      <c r="A27" s="17"/>
      <c r="B27" s="14" t="s">
        <v>32</v>
      </c>
      <c r="C27" s="8">
        <v>21070</v>
      </c>
      <c r="D27" s="9"/>
      <c r="E27" s="9"/>
      <c r="F27" s="9"/>
      <c r="G27" s="9"/>
      <c r="H27" s="8"/>
      <c r="I27" s="8"/>
      <c r="J27" s="8"/>
      <c r="K27" s="8"/>
      <c r="L27" s="8"/>
      <c r="M27" s="9">
        <f t="shared" ref="M27:M39" si="7">SUM(C27:L27)</f>
        <v>21070</v>
      </c>
    </row>
    <row r="28" spans="1:13" x14ac:dyDescent="0.25">
      <c r="A28" s="17"/>
      <c r="B28" s="14" t="s">
        <v>38</v>
      </c>
      <c r="C28" s="8"/>
      <c r="D28" s="9"/>
      <c r="E28" s="9"/>
      <c r="F28" s="9"/>
      <c r="G28" s="9"/>
      <c r="H28" s="8"/>
      <c r="I28" s="8"/>
      <c r="J28" s="8"/>
      <c r="K28" s="8"/>
      <c r="L28" s="8"/>
      <c r="M28" s="9">
        <f t="shared" si="7"/>
        <v>0</v>
      </c>
    </row>
    <row r="29" spans="1:13" x14ac:dyDescent="0.25">
      <c r="A29" s="17"/>
      <c r="B29" s="11" t="s">
        <v>22</v>
      </c>
      <c r="C29" s="10"/>
      <c r="D29" s="10"/>
      <c r="E29" s="10"/>
      <c r="F29" s="10">
        <v>77537</v>
      </c>
      <c r="G29" s="10">
        <v>13803</v>
      </c>
      <c r="H29" s="10"/>
      <c r="I29" s="10"/>
      <c r="J29" s="10"/>
      <c r="K29" s="10"/>
      <c r="L29" s="10"/>
      <c r="M29" s="10">
        <f t="shared" si="7"/>
        <v>91340</v>
      </c>
    </row>
    <row r="30" spans="1:13" x14ac:dyDescent="0.25">
      <c r="A30" s="17"/>
      <c r="B30" s="14" t="s">
        <v>23</v>
      </c>
      <c r="C30" s="8"/>
      <c r="D30" s="9"/>
      <c r="E30" s="9">
        <v>25200</v>
      </c>
      <c r="F30" s="9">
        <v>340502</v>
      </c>
      <c r="G30" s="9">
        <v>30884</v>
      </c>
      <c r="H30" s="8">
        <v>2066</v>
      </c>
      <c r="I30" s="8"/>
      <c r="J30" s="8">
        <v>1310</v>
      </c>
      <c r="K30" s="8"/>
      <c r="L30" s="8"/>
      <c r="M30" s="9">
        <f t="shared" si="7"/>
        <v>399962</v>
      </c>
    </row>
    <row r="31" spans="1:13" x14ac:dyDescent="0.25">
      <c r="A31" s="17"/>
      <c r="B31" s="11" t="s">
        <v>25</v>
      </c>
      <c r="C31" s="10">
        <v>64318</v>
      </c>
      <c r="D31" s="10">
        <v>26241</v>
      </c>
      <c r="E31" s="10">
        <v>79237</v>
      </c>
      <c r="F31" s="10">
        <v>69004</v>
      </c>
      <c r="G31" s="10">
        <v>38746</v>
      </c>
      <c r="H31" s="10">
        <v>14947</v>
      </c>
      <c r="I31" s="10"/>
      <c r="J31" s="10"/>
      <c r="K31" s="10"/>
      <c r="L31" s="10"/>
      <c r="M31" s="10">
        <f t="shared" si="7"/>
        <v>292493</v>
      </c>
    </row>
    <row r="32" spans="1:13" x14ac:dyDescent="0.25">
      <c r="A32" s="17"/>
      <c r="B32" s="14" t="s">
        <v>15</v>
      </c>
      <c r="C32" s="8"/>
      <c r="D32" s="9"/>
      <c r="E32" s="9"/>
      <c r="F32" s="9">
        <v>13050</v>
      </c>
      <c r="G32" s="9">
        <v>8795</v>
      </c>
      <c r="H32" s="8"/>
      <c r="I32" s="8"/>
      <c r="J32" s="8"/>
      <c r="K32" s="8"/>
      <c r="L32" s="8"/>
      <c r="M32" s="9">
        <f t="shared" si="7"/>
        <v>21845</v>
      </c>
    </row>
    <row r="33" spans="1:13" x14ac:dyDescent="0.25">
      <c r="A33" s="17"/>
      <c r="B33" s="11" t="s">
        <v>16</v>
      </c>
      <c r="C33" s="10"/>
      <c r="D33" s="10"/>
      <c r="E33" s="10">
        <v>75990</v>
      </c>
      <c r="F33" s="10"/>
      <c r="G33" s="10"/>
      <c r="H33" s="10"/>
      <c r="I33" s="10"/>
      <c r="J33" s="10"/>
      <c r="K33" s="10"/>
      <c r="L33" s="10"/>
      <c r="M33" s="10">
        <f t="shared" si="7"/>
        <v>75990</v>
      </c>
    </row>
    <row r="34" spans="1:13" x14ac:dyDescent="0.25">
      <c r="A34" s="17"/>
      <c r="B34" s="14" t="s">
        <v>27</v>
      </c>
      <c r="C34" s="8">
        <v>23443</v>
      </c>
      <c r="D34" s="9">
        <v>31638</v>
      </c>
      <c r="E34" s="9">
        <v>35316</v>
      </c>
      <c r="F34" s="9">
        <v>18899</v>
      </c>
      <c r="G34" s="9">
        <v>23983</v>
      </c>
      <c r="H34" s="8"/>
      <c r="I34" s="8"/>
      <c r="J34" s="8"/>
      <c r="K34" s="8"/>
      <c r="L34" s="8"/>
      <c r="M34" s="9">
        <f t="shared" si="7"/>
        <v>133279</v>
      </c>
    </row>
    <row r="35" spans="1:13" x14ac:dyDescent="0.25">
      <c r="A35" s="17"/>
      <c r="B35" s="11" t="s">
        <v>17</v>
      </c>
      <c r="C35" s="10">
        <v>352845</v>
      </c>
      <c r="D35" s="10">
        <v>357533</v>
      </c>
      <c r="E35" s="10"/>
      <c r="F35" s="10">
        <v>217014</v>
      </c>
      <c r="G35" s="10"/>
      <c r="H35" s="10">
        <v>19136</v>
      </c>
      <c r="I35" s="10"/>
      <c r="J35" s="10"/>
      <c r="K35" s="10"/>
      <c r="L35" s="10"/>
      <c r="M35" s="10">
        <f t="shared" si="7"/>
        <v>946528</v>
      </c>
    </row>
    <row r="36" spans="1:13" x14ac:dyDescent="0.25">
      <c r="A36" s="17"/>
      <c r="B36" s="11" t="s">
        <v>28</v>
      </c>
      <c r="C36" s="10">
        <v>674</v>
      </c>
      <c r="D36" s="10">
        <v>280</v>
      </c>
      <c r="E36" s="10">
        <v>14246</v>
      </c>
      <c r="F36" s="10">
        <v>10095</v>
      </c>
      <c r="G36" s="10">
        <v>1628</v>
      </c>
      <c r="H36" s="10">
        <v>6745</v>
      </c>
      <c r="I36" s="10"/>
      <c r="J36" s="10"/>
      <c r="K36" s="10"/>
      <c r="L36" s="10">
        <v>900</v>
      </c>
      <c r="M36" s="10">
        <f t="shared" si="7"/>
        <v>34568</v>
      </c>
    </row>
    <row r="37" spans="1:13" x14ac:dyDescent="0.25">
      <c r="A37" s="17"/>
      <c r="B37" s="11" t="s">
        <v>33</v>
      </c>
      <c r="C37" s="10">
        <v>173161</v>
      </c>
      <c r="D37" s="10"/>
      <c r="E37" s="10">
        <v>40010</v>
      </c>
      <c r="F37" s="10">
        <v>36871</v>
      </c>
      <c r="G37" s="10"/>
      <c r="H37" s="10"/>
      <c r="I37" s="10"/>
      <c r="J37" s="10"/>
      <c r="K37" s="10"/>
      <c r="L37" s="10"/>
      <c r="M37" s="10">
        <f t="shared" si="7"/>
        <v>250042</v>
      </c>
    </row>
    <row r="38" spans="1:13" x14ac:dyDescent="0.25">
      <c r="A38" s="17"/>
      <c r="B38" s="14" t="s">
        <v>39</v>
      </c>
      <c r="C38" s="8"/>
      <c r="D38" s="9"/>
      <c r="E38" s="9"/>
      <c r="F38" s="9"/>
      <c r="G38" s="9">
        <v>2063</v>
      </c>
      <c r="H38" s="8"/>
      <c r="I38" s="8"/>
      <c r="J38" s="8"/>
      <c r="K38" s="8"/>
      <c r="L38" s="8"/>
      <c r="M38" s="9">
        <f t="shared" si="7"/>
        <v>2063</v>
      </c>
    </row>
    <row r="39" spans="1:13" x14ac:dyDescent="0.25">
      <c r="A39" s="17"/>
      <c r="B39" s="14" t="s">
        <v>35</v>
      </c>
      <c r="C39" s="8"/>
      <c r="D39" s="9"/>
      <c r="E39" s="9"/>
      <c r="F39" s="9"/>
      <c r="G39" s="9"/>
      <c r="H39" s="8"/>
      <c r="I39" s="8"/>
      <c r="J39" s="8"/>
      <c r="K39" s="8"/>
      <c r="L39" s="8"/>
      <c r="M39" s="9">
        <f t="shared" si="7"/>
        <v>0</v>
      </c>
    </row>
    <row r="40" spans="1:13" x14ac:dyDescent="0.25">
      <c r="A40" s="14"/>
      <c r="B40" s="14"/>
      <c r="C40" s="15">
        <f t="shared" ref="C40:M40" si="8">SUM(C13,C20,C26)</f>
        <v>1428327</v>
      </c>
      <c r="D40" s="15">
        <f t="shared" si="8"/>
        <v>1646754</v>
      </c>
      <c r="E40" s="15">
        <f t="shared" si="8"/>
        <v>1912472</v>
      </c>
      <c r="F40" s="15">
        <f t="shared" si="8"/>
        <v>2535964</v>
      </c>
      <c r="G40" s="15">
        <f t="shared" si="8"/>
        <v>1584363</v>
      </c>
      <c r="H40" s="15">
        <f t="shared" si="8"/>
        <v>675302</v>
      </c>
      <c r="I40" s="15">
        <f t="shared" si="8"/>
        <v>64042</v>
      </c>
      <c r="J40" s="15">
        <f t="shared" si="8"/>
        <v>30425</v>
      </c>
      <c r="K40" s="15">
        <f t="shared" si="8"/>
        <v>32247</v>
      </c>
      <c r="L40" s="15">
        <f t="shared" si="8"/>
        <v>19688</v>
      </c>
      <c r="M40" s="15">
        <f t="shared" si="8"/>
        <v>9929584</v>
      </c>
    </row>
  </sheetData>
  <mergeCells count="9">
    <mergeCell ref="A26:A39"/>
    <mergeCell ref="B3:B4"/>
    <mergeCell ref="M3:M4"/>
    <mergeCell ref="A13:A19"/>
    <mergeCell ref="B1:L1"/>
    <mergeCell ref="D3:G3"/>
    <mergeCell ref="A12:C12"/>
    <mergeCell ref="A20:A25"/>
    <mergeCell ref="H3:K3"/>
  </mergeCells>
  <pageMargins left="0.7" right="0.7" top="0.75" bottom="0.75" header="0.3" footer="0.3"/>
  <pageSetup paperSize="9" scale="70" orientation="landscape" r:id="rId1"/>
  <ignoredErrors>
    <ignoredError sqref="I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</dc:creator>
  <cp:lastModifiedBy>Md. Mahfuzur Rahman</cp:lastModifiedBy>
  <cp:lastPrinted>2025-03-01T05:11:27Z</cp:lastPrinted>
  <dcterms:created xsi:type="dcterms:W3CDTF">2015-06-05T18:17:20Z</dcterms:created>
  <dcterms:modified xsi:type="dcterms:W3CDTF">2025-03-16T03:06:47Z</dcterms:modified>
</cp:coreProperties>
</file>