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84AAA7D8-A433-4523-90DE-D4B097FCD22D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Sheet1!$B$3:$N$39</definedName>
    <definedName name="_xlnm.Print_Area" localSheetId="0">Sheet1!$A$1:$N$39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3" l="1"/>
  <c r="H12" i="3"/>
  <c r="H14" i="3"/>
  <c r="H15" i="3"/>
  <c r="H16" i="3"/>
  <c r="H17" i="3"/>
  <c r="H18" i="3"/>
  <c r="H19" i="3"/>
  <c r="H21" i="3"/>
  <c r="N21" i="3" s="1"/>
  <c r="H22" i="3"/>
  <c r="H23" i="3"/>
  <c r="H24" i="3"/>
  <c r="H25" i="3"/>
  <c r="H20" i="3" s="1"/>
  <c r="H27" i="3"/>
  <c r="H28" i="3"/>
  <c r="H29" i="3"/>
  <c r="H30" i="3"/>
  <c r="H31" i="3"/>
  <c r="N31" i="3" s="1"/>
  <c r="H32" i="3"/>
  <c r="H33" i="3"/>
  <c r="H34" i="3"/>
  <c r="H35" i="3"/>
  <c r="H36" i="3"/>
  <c r="H37" i="3"/>
  <c r="H38" i="3"/>
  <c r="N23" i="3"/>
  <c r="N24" i="3"/>
  <c r="H7" i="3"/>
  <c r="H8" i="3"/>
  <c r="H9" i="3"/>
  <c r="H10" i="3"/>
  <c r="H11" i="3"/>
  <c r="H4" i="3" s="1"/>
  <c r="H6" i="3"/>
  <c r="J20" i="3"/>
  <c r="N22" i="3"/>
  <c r="E20" i="3"/>
  <c r="N8" i="3"/>
  <c r="N7" i="3"/>
  <c r="M2" i="3"/>
  <c r="N11" i="3" l="1"/>
  <c r="N25" i="3"/>
  <c r="L26" i="3"/>
  <c r="E26" i="3"/>
  <c r="K20" i="3"/>
  <c r="C20" i="3"/>
  <c r="M26" i="3"/>
  <c r="D26" i="3"/>
  <c r="H26" i="3" s="1"/>
  <c r="I20" i="3"/>
  <c r="G26" i="3"/>
  <c r="J26" i="3"/>
  <c r="F20" i="3"/>
  <c r="I26" i="3"/>
  <c r="M20" i="3"/>
  <c r="D20" i="3"/>
  <c r="N35" i="3"/>
  <c r="C26" i="3"/>
  <c r="K26" i="3"/>
  <c r="F26" i="3"/>
  <c r="L20" i="3"/>
  <c r="G20" i="3"/>
  <c r="N19" i="3"/>
  <c r="N15" i="3"/>
  <c r="N28" i="3"/>
  <c r="N16" i="3"/>
  <c r="L13" i="3"/>
  <c r="N32" i="3"/>
  <c r="M13" i="3"/>
  <c r="K13" i="3"/>
  <c r="J13" i="3"/>
  <c r="I13" i="3"/>
  <c r="N29" i="3"/>
  <c r="N36" i="3"/>
  <c r="N17" i="3"/>
  <c r="N37" i="3"/>
  <c r="N33" i="3"/>
  <c r="M4" i="3"/>
  <c r="L4" i="3"/>
  <c r="K4" i="3"/>
  <c r="J4" i="3"/>
  <c r="I4" i="3"/>
  <c r="N9" i="3"/>
  <c r="G4" i="3"/>
  <c r="F4" i="3"/>
  <c r="E4" i="3"/>
  <c r="N10" i="3"/>
  <c r="D4" i="3"/>
  <c r="N6" i="3"/>
  <c r="C4" i="3"/>
  <c r="C3" i="3" s="1"/>
  <c r="C13" i="3"/>
  <c r="D13" i="3"/>
  <c r="N34" i="3"/>
  <c r="N30" i="3"/>
  <c r="N38" i="3"/>
  <c r="E13" i="3"/>
  <c r="N27" i="3"/>
  <c r="F13" i="3"/>
  <c r="N18" i="3"/>
  <c r="N14" i="3"/>
  <c r="G13" i="3"/>
  <c r="J39" i="3" l="1"/>
  <c r="L39" i="3"/>
  <c r="H13" i="3"/>
  <c r="E39" i="3"/>
  <c r="M39" i="3"/>
  <c r="I39" i="3"/>
  <c r="K39" i="3"/>
  <c r="N20" i="3"/>
  <c r="I3" i="3"/>
  <c r="D3" i="3"/>
  <c r="N3" i="3"/>
  <c r="C39" i="3"/>
  <c r="D39" i="3"/>
  <c r="N26" i="3"/>
  <c r="N13" i="3"/>
  <c r="F39" i="3"/>
  <c r="G39" i="3"/>
  <c r="N39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<sst xmlns="http://schemas.openxmlformats.org/spreadsheetml/2006/main" count="52" uniqueCount="50">
  <si>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</si>
  <si>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</si>
  <si>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</si>
  <si>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</si>
  <si>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</si>
  <si>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</si>
  <si>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</si>
  <si>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</si>
  <si>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</si>
  <si>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</si>
  <si>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</si>
  <si>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</si>
  <si>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</si>
  <si>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</si>
  <si>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</si>
  <si>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</si>
  <si>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</si>
  <si>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</si>
  <si>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</si>
  <si>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</si>
  <si>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</si>
  <si>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</si>
  <si>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</si>
  <si>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</si>
  <si>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</si>
  <si>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</si>
  <si>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</si>
  <si>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</si>
  <si>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</si>
  <si>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</si>
  <si>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</si>
  <si>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</si>
  <si>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</si>
  <si>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</si>
  <si>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</si>
  <si>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</si>
  <si>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</si>
  <si>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</si>
  <si>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JKL2</t>
  </si>
  <si>
    <t>Nov-24 Sewing Plan analysis</t>
  </si>
  <si>
    <t>Before Nov</t>
  </si>
  <si>
    <t>1-7/Nov</t>
  </si>
  <si>
    <t>8-15/Nov</t>
  </si>
  <si>
    <t>16-23/Nov</t>
  </si>
  <si>
    <t>24-30/Nov</t>
  </si>
  <si>
    <t>1-5/Dec</t>
  </si>
  <si>
    <t>6-10/Dec</t>
  </si>
  <si>
    <t>11-20/Dec</t>
  </si>
  <si>
    <t>21-31/Dec</t>
  </si>
  <si>
    <t>Nov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</si>
</sst>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165" fontId="3" fillId="0" borderId="0" xfId="0" applyNumberFormat="1" applyFont="1"/>
    <xf numFmtId="3" fontId="4" fillId="3" borderId="2" xfId="0" applyNumberFormat="1" applyFont="1" applyFill="1" applyBorder="1"/>
    <xf numFmtId="3" fontId="3" fillId="2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right"/>
    </xf>
    <xf numFmtId="0" fontId="1" fillId="0" borderId="2" xfId="0" applyFont="1" applyBorder="1"/>
    <xf numFmtId="164" fontId="3" fillId="2" borderId="2" xfId="0" applyNumberFormat="1" applyFont="1" applyFill="1" applyBorder="1"/>
    <xf numFmtId="3" fontId="4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N39"/>
  <sheetViews>
    <sheetView tabSelected="1" zoomScaleNormal="100" workbookViewId="0">
      <selection activeCell="H39" sqref="H39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.140625" style="1" customWidth="1"/>
    <col min="6" max="6" width="11.7109375" style="1" customWidth="1"/>
    <col min="7" max="8" width="12.140625" style="1" customWidth="1"/>
    <col min="9" max="9" width="13.28515625" style="1" customWidth="1"/>
    <col min="10" max="10" width="11.42578125" style="1" customWidth="1"/>
    <col min="11" max="11" width="11" style="1" customWidth="1"/>
    <col min="12" max="12" width="13" style="1" customWidth="1"/>
    <col min="13" max="13" width="13.28515625" style="1" customWidth="1"/>
    <col min="14" max="14" width="16.42578125" style="1" customWidth="1"/>
    <col min="15" max="16384" width="9.140625" style="1"/>
  </cols>
  <sheetData>
    <row r="1" spans="1:14" ht="20.25" x14ac:dyDescent="0.3">
      <c r="B1" s="25" t="s">
        <v>39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x14ac:dyDescent="0.25">
      <c r="A2" s="2" t="s">
        <v>0</v>
      </c>
      <c r="M2" s="3">
        <f ca="1">TODAY()</f>
        <v>45599</v>
      </c>
    </row>
    <row r="3" spans="1:14" ht="15.75" x14ac:dyDescent="0.25">
      <c r="B3" s="20" t="s">
        <v>1</v>
      </c>
      <c r="C3" s="4">
        <f>C4</f>
        <v>2977252</v>
      </c>
      <c r="D3" s="26">
        <f>SUM(D4:G4)</f>
        <v>9983056</v>
      </c>
      <c r="E3" s="26"/>
      <c r="F3" s="26"/>
      <c r="G3" s="26"/>
      <c r="H3" s="18"/>
      <c r="I3" s="26">
        <f>SUM(I4:M4)</f>
        <v>684825</v>
      </c>
      <c r="J3" s="26"/>
      <c r="K3" s="26"/>
      <c r="L3" s="26"/>
      <c r="M3" s="26"/>
      <c r="N3" s="21">
        <f>SUM(N6:N11)</f>
        <v>23628189</v>
      </c>
    </row>
    <row r="4" spans="1:14" x14ac:dyDescent="0.25">
      <c r="B4" s="20"/>
      <c r="C4" s="5">
        <f>SUM(C6:C11)</f>
        <v>2977252</v>
      </c>
      <c r="D4" s="5">
        <f t="shared" ref="D4:I4" si="0">SUM(D6:D11)</f>
        <v>1769579</v>
      </c>
      <c r="E4" s="5">
        <f t="shared" si="0"/>
        <v>1887598</v>
      </c>
      <c r="F4" s="5">
        <f t="shared" si="0"/>
        <v>3179251</v>
      </c>
      <c r="G4" s="5">
        <f t="shared" si="0"/>
        <v>3146628</v>
      </c>
      <c r="H4" s="5">
        <f t="shared" si="0"/>
        <v>9983056</v>
      </c>
      <c r="I4" s="5">
        <f t="shared" si="0"/>
        <v>411663</v>
      </c>
      <c r="J4" s="5">
        <f>SUM(J6:J11)</f>
        <v>192438</v>
      </c>
      <c r="K4" s="5">
        <f>SUM(K6:K11)</f>
        <v>36795</v>
      </c>
      <c r="L4" s="5">
        <f>SUM(L6:L11)</f>
        <v>28751</v>
      </c>
      <c r="M4" s="5">
        <f>SUM(M6:M11)</f>
        <v>15178</v>
      </c>
      <c r="N4" s="21"/>
    </row>
    <row r="5" spans="1:14" ht="15.75" customHeight="1" x14ac:dyDescent="0.25">
      <c r="B5" s="6" t="s">
        <v>2</v>
      </c>
      <c r="C5" s="7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49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3</v>
      </c>
      <c r="N5" s="6" t="s">
        <v>4</v>
      </c>
    </row>
    <row r="6" spans="1:14" x14ac:dyDescent="0.25">
      <c r="B6" s="16" t="s">
        <v>5</v>
      </c>
      <c r="C6" s="9">
        <v>534815</v>
      </c>
      <c r="D6" s="10">
        <v>190484</v>
      </c>
      <c r="E6" s="10">
        <v>247063</v>
      </c>
      <c r="F6" s="10">
        <v>418641</v>
      </c>
      <c r="G6" s="10">
        <v>633307</v>
      </c>
      <c r="H6" s="10">
        <f>SUM(D6:G6)</f>
        <v>1489495</v>
      </c>
      <c r="I6" s="9">
        <v>61659</v>
      </c>
      <c r="J6" s="9">
        <v>14076</v>
      </c>
      <c r="K6" s="9"/>
      <c r="L6" s="9"/>
      <c r="M6" s="9"/>
      <c r="N6" s="10">
        <f t="shared" ref="N6:N11" si="1">SUM(C6:M6)</f>
        <v>3589540</v>
      </c>
    </row>
    <row r="7" spans="1:14" x14ac:dyDescent="0.25">
      <c r="B7" s="12" t="s">
        <v>6</v>
      </c>
      <c r="C7" s="11">
        <v>305489</v>
      </c>
      <c r="D7" s="11">
        <v>285764</v>
      </c>
      <c r="E7" s="11">
        <v>49190</v>
      </c>
      <c r="F7" s="11">
        <v>565715</v>
      </c>
      <c r="G7" s="11">
        <v>475481</v>
      </c>
      <c r="H7" s="11">
        <f t="shared" ref="H7:H38" si="2">SUM(D7:G7)</f>
        <v>1376150</v>
      </c>
      <c r="I7" s="11">
        <v>564</v>
      </c>
      <c r="J7" s="12">
        <v>1236</v>
      </c>
      <c r="K7" s="11">
        <v>250</v>
      </c>
      <c r="L7" s="11"/>
      <c r="M7" s="11"/>
      <c r="N7" s="11">
        <f t="shared" si="1"/>
        <v>3059839</v>
      </c>
    </row>
    <row r="8" spans="1:14" x14ac:dyDescent="0.25">
      <c r="B8" s="16" t="s">
        <v>7</v>
      </c>
      <c r="C8" s="9">
        <v>474473</v>
      </c>
      <c r="D8" s="10">
        <v>277220</v>
      </c>
      <c r="E8" s="10">
        <v>194287</v>
      </c>
      <c r="F8" s="10">
        <v>227628</v>
      </c>
      <c r="G8" s="10">
        <v>46062</v>
      </c>
      <c r="H8" s="10">
        <f t="shared" si="2"/>
        <v>745197</v>
      </c>
      <c r="I8" s="9">
        <v>10949</v>
      </c>
      <c r="J8" s="9">
        <v>73087</v>
      </c>
      <c r="K8" s="9">
        <v>6944</v>
      </c>
      <c r="L8" s="9">
        <v>14339</v>
      </c>
      <c r="M8" s="9">
        <v>8177</v>
      </c>
      <c r="N8" s="10">
        <f t="shared" si="1"/>
        <v>2078363</v>
      </c>
    </row>
    <row r="9" spans="1:14" x14ac:dyDescent="0.25">
      <c r="B9" s="12" t="s">
        <v>8</v>
      </c>
      <c r="C9" s="11">
        <v>435165</v>
      </c>
      <c r="D9" s="11">
        <v>433158</v>
      </c>
      <c r="E9" s="11">
        <v>117969</v>
      </c>
      <c r="F9" s="11">
        <v>280196</v>
      </c>
      <c r="G9" s="11">
        <v>468213</v>
      </c>
      <c r="H9" s="11">
        <f t="shared" si="2"/>
        <v>1299536</v>
      </c>
      <c r="I9" s="11">
        <v>84293</v>
      </c>
      <c r="J9" s="12">
        <v>55409</v>
      </c>
      <c r="K9" s="11">
        <v>29550</v>
      </c>
      <c r="L9" s="11">
        <v>14412</v>
      </c>
      <c r="M9" s="11">
        <v>4001</v>
      </c>
      <c r="N9" s="11">
        <f t="shared" si="1"/>
        <v>3221902</v>
      </c>
    </row>
    <row r="10" spans="1:14" x14ac:dyDescent="0.25">
      <c r="B10" s="16" t="s">
        <v>9</v>
      </c>
      <c r="C10" s="9">
        <v>194558</v>
      </c>
      <c r="D10" s="10">
        <v>191880</v>
      </c>
      <c r="E10" s="10">
        <v>500870</v>
      </c>
      <c r="F10" s="10">
        <v>1139399</v>
      </c>
      <c r="G10" s="10">
        <v>571693</v>
      </c>
      <c r="H10" s="10">
        <f t="shared" si="2"/>
        <v>2403842</v>
      </c>
      <c r="I10" s="9">
        <v>157243</v>
      </c>
      <c r="J10" s="9">
        <v>2347</v>
      </c>
      <c r="K10" s="9"/>
      <c r="L10" s="9"/>
      <c r="M10" s="9"/>
      <c r="N10" s="10">
        <f t="shared" si="1"/>
        <v>5161832</v>
      </c>
    </row>
    <row r="11" spans="1:14" x14ac:dyDescent="0.25">
      <c r="B11" s="12" t="s">
        <v>38</v>
      </c>
      <c r="C11" s="11">
        <v>1032752</v>
      </c>
      <c r="D11" s="11">
        <v>391073</v>
      </c>
      <c r="E11" s="11">
        <v>778219</v>
      </c>
      <c r="F11" s="11">
        <v>547672</v>
      </c>
      <c r="G11" s="11">
        <v>951872</v>
      </c>
      <c r="H11" s="11">
        <f t="shared" si="2"/>
        <v>2668836</v>
      </c>
      <c r="I11" s="11">
        <v>96955</v>
      </c>
      <c r="J11" s="12">
        <v>46283</v>
      </c>
      <c r="K11" s="11">
        <v>51</v>
      </c>
      <c r="L11" s="11"/>
      <c r="M11" s="11">
        <v>3000</v>
      </c>
      <c r="N11" s="11">
        <f t="shared" si="1"/>
        <v>6516713</v>
      </c>
    </row>
    <row r="12" spans="1:14" x14ac:dyDescent="0.25">
      <c r="A12" s="27" t="s">
        <v>10</v>
      </c>
      <c r="B12" s="27"/>
      <c r="C12" s="27"/>
      <c r="D12" s="13"/>
      <c r="E12" s="13"/>
      <c r="F12" s="13"/>
      <c r="G12" s="13"/>
      <c r="H12" s="13">
        <f t="shared" si="2"/>
        <v>0</v>
      </c>
      <c r="I12" s="13"/>
      <c r="J12" s="13"/>
      <c r="K12" s="13"/>
      <c r="L12" s="13"/>
    </row>
    <row r="13" spans="1:14" x14ac:dyDescent="0.25">
      <c r="A13" s="22" t="s">
        <v>11</v>
      </c>
      <c r="B13" s="14" t="s">
        <v>12</v>
      </c>
      <c r="C13" s="5">
        <f t="shared" ref="C13:N13" si="3">SUM(C14:C19)</f>
        <v>762133</v>
      </c>
      <c r="D13" s="5">
        <f t="shared" si="3"/>
        <v>652329</v>
      </c>
      <c r="E13" s="5">
        <f t="shared" si="3"/>
        <v>309658</v>
      </c>
      <c r="F13" s="5">
        <f t="shared" si="3"/>
        <v>815435</v>
      </c>
      <c r="G13" s="5">
        <f t="shared" si="3"/>
        <v>1047278</v>
      </c>
      <c r="H13" s="5">
        <f t="shared" si="2"/>
        <v>2824700</v>
      </c>
      <c r="I13" s="5">
        <f t="shared" si="3"/>
        <v>64712</v>
      </c>
      <c r="J13" s="5">
        <f t="shared" si="3"/>
        <v>106646</v>
      </c>
      <c r="K13" s="5">
        <f t="shared" si="3"/>
        <v>21525</v>
      </c>
      <c r="L13" s="5">
        <f t="shared" si="3"/>
        <v>28752</v>
      </c>
      <c r="M13" s="15">
        <f t="shared" si="3"/>
        <v>11404</v>
      </c>
      <c r="N13" s="5">
        <f t="shared" si="3"/>
        <v>6644572</v>
      </c>
    </row>
    <row r="14" spans="1:14" x14ac:dyDescent="0.25">
      <c r="A14" s="23"/>
      <c r="B14" s="16" t="s">
        <v>19</v>
      </c>
      <c r="C14" s="9">
        <v>334546</v>
      </c>
      <c r="D14" s="10">
        <v>125756</v>
      </c>
      <c r="E14" s="10">
        <v>39786</v>
      </c>
      <c r="F14" s="10">
        <v>513409</v>
      </c>
      <c r="G14" s="10">
        <v>748008</v>
      </c>
      <c r="H14" s="10">
        <f t="shared" si="2"/>
        <v>1426959</v>
      </c>
      <c r="I14" s="9"/>
      <c r="J14" s="9">
        <v>106646</v>
      </c>
      <c r="K14" s="9">
        <v>15109</v>
      </c>
      <c r="L14" s="9">
        <v>28230</v>
      </c>
      <c r="M14" s="9">
        <v>10423</v>
      </c>
      <c r="N14" s="10">
        <f>SUM(C14:M14)</f>
        <v>3348872</v>
      </c>
    </row>
    <row r="15" spans="1:14" x14ac:dyDescent="0.25">
      <c r="A15" s="23"/>
      <c r="B15" s="12" t="s">
        <v>20</v>
      </c>
      <c r="C15" s="11">
        <v>100713</v>
      </c>
      <c r="D15" s="11">
        <v>232588</v>
      </c>
      <c r="E15" s="11">
        <v>143808</v>
      </c>
      <c r="F15" s="11">
        <v>182870</v>
      </c>
      <c r="G15" s="11">
        <v>87768</v>
      </c>
      <c r="H15" s="11">
        <f t="shared" si="2"/>
        <v>647034</v>
      </c>
      <c r="I15" s="11">
        <v>564</v>
      </c>
      <c r="J15" s="11"/>
      <c r="K15" s="11">
        <v>250</v>
      </c>
      <c r="L15" s="11"/>
      <c r="M15" s="11"/>
      <c r="N15" s="11">
        <f>SUM(C15:M15)</f>
        <v>1395595</v>
      </c>
    </row>
    <row r="16" spans="1:14" x14ac:dyDescent="0.25">
      <c r="A16" s="23"/>
      <c r="B16" s="16" t="s">
        <v>26</v>
      </c>
      <c r="C16" s="9"/>
      <c r="D16" s="10">
        <v>15339</v>
      </c>
      <c r="E16" s="10">
        <v>24710</v>
      </c>
      <c r="F16" s="10">
        <v>26013</v>
      </c>
      <c r="G16" s="10">
        <v>26315</v>
      </c>
      <c r="H16" s="10">
        <f t="shared" si="2"/>
        <v>92377</v>
      </c>
      <c r="I16" s="9"/>
      <c r="J16" s="9"/>
      <c r="K16" s="9"/>
      <c r="L16" s="9"/>
      <c r="M16" s="9"/>
      <c r="N16" s="10">
        <f t="shared" ref="N16:N19" si="4">SUM(C16:M16)</f>
        <v>184754</v>
      </c>
    </row>
    <row r="17" spans="1:14" x14ac:dyDescent="0.25">
      <c r="A17" s="23"/>
      <c r="B17" s="12" t="s">
        <v>29</v>
      </c>
      <c r="C17" s="11">
        <v>326874</v>
      </c>
      <c r="D17" s="11">
        <v>278646</v>
      </c>
      <c r="E17" s="11">
        <v>101354</v>
      </c>
      <c r="F17" s="11">
        <v>93143</v>
      </c>
      <c r="G17" s="11">
        <v>185187</v>
      </c>
      <c r="H17" s="11">
        <f t="shared" si="2"/>
        <v>658330</v>
      </c>
      <c r="I17" s="11">
        <v>64148</v>
      </c>
      <c r="J17" s="11"/>
      <c r="K17" s="11">
        <v>6166</v>
      </c>
      <c r="L17" s="11">
        <v>522</v>
      </c>
      <c r="M17" s="11">
        <v>981</v>
      </c>
      <c r="N17" s="11">
        <f t="shared" si="4"/>
        <v>1715351</v>
      </c>
    </row>
    <row r="18" spans="1:14" x14ac:dyDescent="0.25">
      <c r="A18" s="23"/>
      <c r="B18" s="16" t="s">
        <v>31</v>
      </c>
      <c r="C18" s="9"/>
      <c r="D18" s="10"/>
      <c r="E18" s="10"/>
      <c r="F18" s="10"/>
      <c r="G18" s="10"/>
      <c r="H18" s="10">
        <f t="shared" si="2"/>
        <v>0</v>
      </c>
      <c r="I18" s="9"/>
      <c r="J18" s="9"/>
      <c r="K18" s="9"/>
      <c r="L18" s="9"/>
      <c r="M18" s="9"/>
      <c r="N18" s="10">
        <f t="shared" si="4"/>
        <v>0</v>
      </c>
    </row>
    <row r="19" spans="1:14" x14ac:dyDescent="0.25">
      <c r="A19" s="24"/>
      <c r="B19" s="12" t="s">
        <v>35</v>
      </c>
      <c r="C19" s="11"/>
      <c r="D19" s="11"/>
      <c r="E19" s="11"/>
      <c r="F19" s="11"/>
      <c r="G19" s="11"/>
      <c r="H19" s="11">
        <f t="shared" si="2"/>
        <v>0</v>
      </c>
      <c r="I19" s="11"/>
      <c r="J19" s="11"/>
      <c r="K19" s="11"/>
      <c r="L19" s="11"/>
      <c r="M19" s="11"/>
      <c r="N19" s="11">
        <f t="shared" si="4"/>
        <v>0</v>
      </c>
    </row>
    <row r="20" spans="1:14" ht="15" customHeight="1" x14ac:dyDescent="0.25">
      <c r="A20" s="28" t="s">
        <v>13</v>
      </c>
      <c r="B20" s="14" t="s">
        <v>12</v>
      </c>
      <c r="C20" s="5">
        <f>SUM(C21:C25)</f>
        <v>1206933</v>
      </c>
      <c r="D20" s="5">
        <f t="shared" ref="D20:M20" si="5">SUM(D21:D25)</f>
        <v>344496</v>
      </c>
      <c r="E20" s="5">
        <f t="shared" si="5"/>
        <v>986518</v>
      </c>
      <c r="F20" s="5">
        <f t="shared" si="5"/>
        <v>1765880</v>
      </c>
      <c r="G20" s="5">
        <f t="shared" si="5"/>
        <v>1935633</v>
      </c>
      <c r="H20" s="5">
        <f t="shared" si="5"/>
        <v>5032527</v>
      </c>
      <c r="I20" s="5">
        <f t="shared" si="5"/>
        <v>279091</v>
      </c>
      <c r="J20" s="5">
        <f t="shared" si="5"/>
        <v>62705</v>
      </c>
      <c r="K20" s="5">
        <f t="shared" si="5"/>
        <v>0</v>
      </c>
      <c r="L20" s="5">
        <f t="shared" si="5"/>
        <v>0</v>
      </c>
      <c r="M20" s="5">
        <f t="shared" si="5"/>
        <v>0</v>
      </c>
      <c r="N20" s="5">
        <f t="shared" ref="N20" si="6">SUM(N21:N25)</f>
        <v>11613783</v>
      </c>
    </row>
    <row r="21" spans="1:14" x14ac:dyDescent="0.25">
      <c r="A21" s="29"/>
      <c r="B21" s="16" t="s">
        <v>21</v>
      </c>
      <c r="C21" s="9">
        <v>895873</v>
      </c>
      <c r="D21" s="10">
        <v>42359</v>
      </c>
      <c r="E21" s="10">
        <v>346886</v>
      </c>
      <c r="F21" s="10">
        <v>408865</v>
      </c>
      <c r="G21" s="10">
        <v>1263895</v>
      </c>
      <c r="H21" s="10">
        <f t="shared" si="2"/>
        <v>2062005</v>
      </c>
      <c r="I21" s="9">
        <v>113505</v>
      </c>
      <c r="J21" s="9">
        <v>60358</v>
      </c>
      <c r="K21" s="9"/>
      <c r="L21" s="9"/>
      <c r="M21" s="9"/>
      <c r="N21" s="10">
        <f t="shared" ref="N21:N25" si="7">SUM(C21:M21)</f>
        <v>5193746</v>
      </c>
    </row>
    <row r="22" spans="1:14" x14ac:dyDescent="0.25">
      <c r="A22" s="29"/>
      <c r="B22" s="12" t="s">
        <v>24</v>
      </c>
      <c r="C22" s="11">
        <v>298552</v>
      </c>
      <c r="D22" s="11">
        <v>285402</v>
      </c>
      <c r="E22" s="11">
        <v>639632</v>
      </c>
      <c r="F22" s="11">
        <v>1305657</v>
      </c>
      <c r="G22" s="11">
        <v>652384</v>
      </c>
      <c r="H22" s="11">
        <f t="shared" si="2"/>
        <v>2883075</v>
      </c>
      <c r="I22" s="11">
        <v>165586</v>
      </c>
      <c r="J22" s="11">
        <v>2347</v>
      </c>
      <c r="K22" s="11"/>
      <c r="L22" s="11"/>
      <c r="M22" s="11"/>
      <c r="N22" s="11">
        <f t="shared" si="7"/>
        <v>6232635</v>
      </c>
    </row>
    <row r="23" spans="1:14" x14ac:dyDescent="0.25">
      <c r="A23" s="29"/>
      <c r="B23" s="16" t="s">
        <v>30</v>
      </c>
      <c r="C23" s="9">
        <v>11608</v>
      </c>
      <c r="D23" s="10">
        <v>14235</v>
      </c>
      <c r="E23" s="10"/>
      <c r="F23" s="10">
        <v>39658</v>
      </c>
      <c r="G23" s="10">
        <v>19354</v>
      </c>
      <c r="H23" s="10">
        <f t="shared" si="2"/>
        <v>73247</v>
      </c>
      <c r="I23" s="9"/>
      <c r="J23" s="9"/>
      <c r="K23" s="9"/>
      <c r="L23" s="9"/>
      <c r="M23" s="9"/>
      <c r="N23" s="10">
        <f t="shared" si="7"/>
        <v>158102</v>
      </c>
    </row>
    <row r="24" spans="1:14" x14ac:dyDescent="0.25">
      <c r="A24" s="29"/>
      <c r="B24" s="12" t="s">
        <v>18</v>
      </c>
      <c r="C24" s="11">
        <v>900</v>
      </c>
      <c r="D24" s="11"/>
      <c r="E24" s="11"/>
      <c r="F24" s="11">
        <v>11700</v>
      </c>
      <c r="G24" s="11"/>
      <c r="H24" s="11">
        <f t="shared" si="2"/>
        <v>11700</v>
      </c>
      <c r="I24" s="11"/>
      <c r="J24" s="11"/>
      <c r="K24" s="11"/>
      <c r="L24" s="11"/>
      <c r="M24" s="11"/>
      <c r="N24" s="11">
        <f t="shared" si="7"/>
        <v>24300</v>
      </c>
    </row>
    <row r="25" spans="1:14" x14ac:dyDescent="0.25">
      <c r="A25" s="30"/>
      <c r="B25" s="16" t="s">
        <v>37</v>
      </c>
      <c r="C25" s="9"/>
      <c r="D25" s="10">
        <v>2500</v>
      </c>
      <c r="E25" s="10"/>
      <c r="F25" s="10"/>
      <c r="G25" s="10"/>
      <c r="H25" s="10">
        <f t="shared" si="2"/>
        <v>2500</v>
      </c>
      <c r="I25" s="9"/>
      <c r="J25" s="9"/>
      <c r="K25" s="9"/>
      <c r="L25" s="9"/>
      <c r="M25" s="9"/>
      <c r="N25" s="10">
        <f t="shared" si="7"/>
        <v>5000</v>
      </c>
    </row>
    <row r="26" spans="1:14" x14ac:dyDescent="0.25">
      <c r="A26" s="19" t="s">
        <v>14</v>
      </c>
      <c r="B26" s="14" t="s">
        <v>12</v>
      </c>
      <c r="C26" s="5">
        <f>SUM(C27:C38)</f>
        <v>1008187</v>
      </c>
      <c r="D26" s="5">
        <f t="shared" ref="D26:M26" si="8">SUM(D27:D38)</f>
        <v>772752</v>
      </c>
      <c r="E26" s="5">
        <f t="shared" si="8"/>
        <v>591421</v>
      </c>
      <c r="F26" s="5">
        <f t="shared" si="8"/>
        <v>597934</v>
      </c>
      <c r="G26" s="5">
        <f t="shared" si="8"/>
        <v>163717</v>
      </c>
      <c r="H26" s="5">
        <f t="shared" si="2"/>
        <v>2125824</v>
      </c>
      <c r="I26" s="5">
        <f t="shared" si="8"/>
        <v>67859</v>
      </c>
      <c r="J26" s="5">
        <f t="shared" si="8"/>
        <v>23086</v>
      </c>
      <c r="K26" s="5">
        <f t="shared" si="8"/>
        <v>15270</v>
      </c>
      <c r="L26" s="5">
        <f t="shared" si="8"/>
        <v>0</v>
      </c>
      <c r="M26" s="5">
        <f t="shared" si="8"/>
        <v>3774</v>
      </c>
      <c r="N26" s="5">
        <f t="shared" ref="N26" si="9">SUM(N27:N38)</f>
        <v>5369824</v>
      </c>
    </row>
    <row r="27" spans="1:14" x14ac:dyDescent="0.25">
      <c r="A27" s="19"/>
      <c r="B27" s="16" t="s">
        <v>32</v>
      </c>
      <c r="C27" s="9">
        <v>14982</v>
      </c>
      <c r="D27" s="10"/>
      <c r="E27" s="10"/>
      <c r="F27" s="10"/>
      <c r="G27" s="10"/>
      <c r="H27" s="10">
        <f t="shared" si="2"/>
        <v>0</v>
      </c>
      <c r="I27" s="9"/>
      <c r="J27" s="9"/>
      <c r="K27" s="9"/>
      <c r="L27" s="9"/>
      <c r="M27" s="9"/>
      <c r="N27" s="10">
        <f t="shared" ref="N27:N38" si="10">SUM(C27:M27)</f>
        <v>14982</v>
      </c>
    </row>
    <row r="28" spans="1:14" x14ac:dyDescent="0.25">
      <c r="A28" s="19"/>
      <c r="B28" s="16" t="s">
        <v>22</v>
      </c>
      <c r="C28" s="9">
        <v>75305</v>
      </c>
      <c r="D28" s="10">
        <v>1415</v>
      </c>
      <c r="E28" s="10">
        <v>4934</v>
      </c>
      <c r="F28" s="10"/>
      <c r="G28" s="10"/>
      <c r="H28" s="10">
        <f t="shared" si="2"/>
        <v>6349</v>
      </c>
      <c r="I28" s="9">
        <v>2301</v>
      </c>
      <c r="J28" s="9"/>
      <c r="K28" s="9"/>
      <c r="L28" s="9"/>
      <c r="M28" s="9"/>
      <c r="N28" s="10">
        <f t="shared" si="10"/>
        <v>90304</v>
      </c>
    </row>
    <row r="29" spans="1:14" x14ac:dyDescent="0.25">
      <c r="A29" s="19"/>
      <c r="B29" s="12" t="s">
        <v>23</v>
      </c>
      <c r="C29" s="11">
        <v>80653</v>
      </c>
      <c r="D29" s="11"/>
      <c r="E29" s="11">
        <v>353090</v>
      </c>
      <c r="F29" s="11">
        <v>29761</v>
      </c>
      <c r="G29" s="11">
        <v>143202</v>
      </c>
      <c r="H29" s="11">
        <f t="shared" si="2"/>
        <v>526053</v>
      </c>
      <c r="I29" s="11"/>
      <c r="J29" s="11"/>
      <c r="K29" s="11"/>
      <c r="L29" s="11"/>
      <c r="M29" s="11"/>
      <c r="N29" s="11">
        <f t="shared" si="10"/>
        <v>1132759</v>
      </c>
    </row>
    <row r="30" spans="1:14" x14ac:dyDescent="0.25">
      <c r="A30" s="19"/>
      <c r="B30" s="16" t="s">
        <v>25</v>
      </c>
      <c r="C30" s="9">
        <v>154986</v>
      </c>
      <c r="D30" s="10">
        <v>8894</v>
      </c>
      <c r="E30" s="10">
        <v>17599</v>
      </c>
      <c r="F30" s="10">
        <v>2639</v>
      </c>
      <c r="G30" s="10">
        <v>3504</v>
      </c>
      <c r="H30" s="10">
        <f t="shared" si="2"/>
        <v>32636</v>
      </c>
      <c r="I30" s="9">
        <v>1615</v>
      </c>
      <c r="J30" s="9">
        <v>4238</v>
      </c>
      <c r="K30" s="9"/>
      <c r="L30" s="9"/>
      <c r="M30" s="9"/>
      <c r="N30" s="10">
        <f t="shared" si="10"/>
        <v>226111</v>
      </c>
    </row>
    <row r="31" spans="1:14" x14ac:dyDescent="0.25">
      <c r="A31" s="19"/>
      <c r="B31" s="12" t="s">
        <v>15</v>
      </c>
      <c r="C31" s="11">
        <v>11796</v>
      </c>
      <c r="D31" s="11">
        <v>59555</v>
      </c>
      <c r="E31" s="11"/>
      <c r="F31" s="11"/>
      <c r="G31" s="11"/>
      <c r="H31" s="11">
        <f t="shared" si="2"/>
        <v>59555</v>
      </c>
      <c r="I31" s="11"/>
      <c r="J31" s="11"/>
      <c r="K31" s="11"/>
      <c r="L31" s="11"/>
      <c r="M31" s="11"/>
      <c r="N31" s="11">
        <f t="shared" si="10"/>
        <v>130906</v>
      </c>
    </row>
    <row r="32" spans="1:14" x14ac:dyDescent="0.25">
      <c r="A32" s="19"/>
      <c r="B32" s="16" t="s">
        <v>16</v>
      </c>
      <c r="C32" s="9">
        <v>16945</v>
      </c>
      <c r="D32" s="10"/>
      <c r="E32" s="10">
        <v>99735</v>
      </c>
      <c r="F32" s="10">
        <v>136114</v>
      </c>
      <c r="G32" s="10"/>
      <c r="H32" s="10">
        <f t="shared" si="2"/>
        <v>235849</v>
      </c>
      <c r="I32" s="9"/>
      <c r="J32" s="9"/>
      <c r="K32" s="9">
        <v>4342</v>
      </c>
      <c r="L32" s="9"/>
      <c r="M32" s="9"/>
      <c r="N32" s="10">
        <f t="shared" si="10"/>
        <v>492985</v>
      </c>
    </row>
    <row r="33" spans="1:14" x14ac:dyDescent="0.25">
      <c r="A33" s="19"/>
      <c r="B33" s="12" t="s">
        <v>27</v>
      </c>
      <c r="C33" s="11">
        <v>17060</v>
      </c>
      <c r="D33" s="11"/>
      <c r="E33" s="11">
        <v>38161</v>
      </c>
      <c r="F33" s="11">
        <v>49572</v>
      </c>
      <c r="G33" s="11">
        <v>11552</v>
      </c>
      <c r="H33" s="11">
        <f t="shared" si="2"/>
        <v>99285</v>
      </c>
      <c r="I33" s="11"/>
      <c r="J33" s="11"/>
      <c r="K33" s="11"/>
      <c r="L33" s="11"/>
      <c r="M33" s="11"/>
      <c r="N33" s="11">
        <f t="shared" si="10"/>
        <v>215630</v>
      </c>
    </row>
    <row r="34" spans="1:14" x14ac:dyDescent="0.25">
      <c r="A34" s="19"/>
      <c r="B34" s="16" t="s">
        <v>17</v>
      </c>
      <c r="C34" s="9">
        <v>556380</v>
      </c>
      <c r="D34" s="10">
        <v>596578</v>
      </c>
      <c r="E34" s="10"/>
      <c r="F34" s="10">
        <v>317922</v>
      </c>
      <c r="G34" s="10"/>
      <c r="H34" s="10">
        <f t="shared" si="2"/>
        <v>914500</v>
      </c>
      <c r="I34" s="9">
        <v>62801</v>
      </c>
      <c r="J34" s="9"/>
      <c r="K34" s="9">
        <v>10928</v>
      </c>
      <c r="L34" s="9"/>
      <c r="M34" s="9">
        <v>3774</v>
      </c>
      <c r="N34" s="10">
        <f t="shared" si="10"/>
        <v>2462883</v>
      </c>
    </row>
    <row r="35" spans="1:14" x14ac:dyDescent="0.25">
      <c r="A35" s="19"/>
      <c r="B35" s="12" t="s">
        <v>28</v>
      </c>
      <c r="C35" s="11">
        <v>11700</v>
      </c>
      <c r="D35" s="11">
        <v>45871</v>
      </c>
      <c r="E35" s="11">
        <v>77902</v>
      </c>
      <c r="F35" s="11"/>
      <c r="G35" s="11">
        <v>5459</v>
      </c>
      <c r="H35" s="11">
        <f t="shared" si="2"/>
        <v>129232</v>
      </c>
      <c r="I35" s="11">
        <v>1142</v>
      </c>
      <c r="J35" s="11"/>
      <c r="K35" s="11"/>
      <c r="L35" s="11"/>
      <c r="M35" s="11"/>
      <c r="N35" s="11">
        <f t="shared" si="10"/>
        <v>271306</v>
      </c>
    </row>
    <row r="36" spans="1:14" x14ac:dyDescent="0.25">
      <c r="A36" s="19"/>
      <c r="B36" s="16" t="s">
        <v>33</v>
      </c>
      <c r="C36" s="9">
        <v>48812</v>
      </c>
      <c r="D36" s="10">
        <v>41339</v>
      </c>
      <c r="E36" s="10"/>
      <c r="F36" s="10">
        <v>15500</v>
      </c>
      <c r="G36" s="10"/>
      <c r="H36" s="10">
        <f t="shared" si="2"/>
        <v>56839</v>
      </c>
      <c r="I36" s="9"/>
      <c r="J36" s="9"/>
      <c r="K36" s="9"/>
      <c r="L36" s="9"/>
      <c r="M36" s="9"/>
      <c r="N36" s="10">
        <f t="shared" si="10"/>
        <v>162490</v>
      </c>
    </row>
    <row r="37" spans="1:14" x14ac:dyDescent="0.25">
      <c r="A37" s="19"/>
      <c r="B37" s="12" t="s">
        <v>34</v>
      </c>
      <c r="C37" s="11">
        <v>19568</v>
      </c>
      <c r="D37" s="11">
        <v>19100</v>
      </c>
      <c r="E37" s="11"/>
      <c r="F37" s="11">
        <v>46426</v>
      </c>
      <c r="G37" s="11"/>
      <c r="H37" s="11">
        <f t="shared" si="2"/>
        <v>65526</v>
      </c>
      <c r="I37" s="11"/>
      <c r="J37" s="11">
        <v>18848</v>
      </c>
      <c r="K37" s="11"/>
      <c r="L37" s="11"/>
      <c r="M37" s="11"/>
      <c r="N37" s="11">
        <f t="shared" si="10"/>
        <v>169468</v>
      </c>
    </row>
    <row r="38" spans="1:14" x14ac:dyDescent="0.25">
      <c r="A38" s="19"/>
      <c r="B38" s="16" t="s">
        <v>36</v>
      </c>
      <c r="C38" s="9"/>
      <c r="D38" s="10"/>
      <c r="E38" s="10"/>
      <c r="F38" s="10"/>
      <c r="G38" s="10"/>
      <c r="H38" s="10">
        <f t="shared" si="2"/>
        <v>0</v>
      </c>
      <c r="I38" s="9"/>
      <c r="J38" s="9"/>
      <c r="K38" s="9"/>
      <c r="L38" s="9"/>
      <c r="M38" s="9"/>
      <c r="N38" s="10">
        <f t="shared" si="10"/>
        <v>0</v>
      </c>
    </row>
    <row r="39" spans="1:14" x14ac:dyDescent="0.25">
      <c r="A39" s="16"/>
      <c r="B39" s="16"/>
      <c r="C39" s="17">
        <f t="shared" ref="C39:N39" si="11">SUM(C13,C20,C26)</f>
        <v>2977253</v>
      </c>
      <c r="D39" s="17">
        <f t="shared" si="11"/>
        <v>1769577</v>
      </c>
      <c r="E39" s="17">
        <f t="shared" si="11"/>
        <v>1887597</v>
      </c>
      <c r="F39" s="17">
        <f t="shared" si="11"/>
        <v>3179249</v>
      </c>
      <c r="G39" s="17">
        <f t="shared" si="11"/>
        <v>3146628</v>
      </c>
      <c r="H39" s="17">
        <f t="shared" si="11"/>
        <v>9983051</v>
      </c>
      <c r="I39" s="17">
        <f t="shared" si="11"/>
        <v>411662</v>
      </c>
      <c r="J39" s="17">
        <f t="shared" si="11"/>
        <v>192437</v>
      </c>
      <c r="K39" s="17">
        <f t="shared" si="11"/>
        <v>36795</v>
      </c>
      <c r="L39" s="17">
        <f t="shared" si="11"/>
        <v>28752</v>
      </c>
      <c r="M39" s="17">
        <f t="shared" si="11"/>
        <v>15178</v>
      </c>
      <c r="N39" s="17">
        <f t="shared" si="11"/>
        <v>23628179</v>
      </c>
    </row>
  </sheetData>
  <mergeCells count="9">
    <mergeCell ref="A26:A38"/>
    <mergeCell ref="B3:B4"/>
    <mergeCell ref="N3:N4"/>
    <mergeCell ref="A13:A19"/>
    <mergeCell ref="B1:M1"/>
    <mergeCell ref="D3:G3"/>
    <mergeCell ref="I3:M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I13 H6:H11 H14:H19 H21:H25 H27:H38" formulaRange="1"/>
    <ignoredError sqref="I5:L5 D5:G5" twoDigitTextYear="1"/>
    <ignoredError sqref="N26 I20:N20 I26:M26 C26:G26 C20:H20 H13" formula="1"/>
    <ignoredError sqref="H26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2024-11-02T05:30:49Z</cp:lastPrinted>
  <dcterms:created xsi:type="dcterms:W3CDTF">2015-06-05T18:17:20Z</dcterms:created>
  <dcterms:modified xsi:type="dcterms:W3CDTF">2024-11-03T08:44:23Z</dcterms:modified>
</cp:coreProperties>
</file>