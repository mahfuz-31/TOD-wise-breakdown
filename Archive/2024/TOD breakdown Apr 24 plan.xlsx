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Z:\Jubair Azim\3.Monthly\TOD Data\TOD wise breakdown\2024\"/>
    </mc:Choice>
  </mc:AlternateContent>
  <xr:revisionPtr revIDLastSave="0" documentId="13_ncr:1_{8621E7DB-AD58-4B8F-85E2-550C82A080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D" sheetId="1" r:id="rId1"/>
    <sheet name="Ma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1" l="1"/>
  <c r="M37" i="2"/>
  <c r="M36" i="2"/>
  <c r="M35" i="2"/>
  <c r="M34" i="2"/>
  <c r="M33" i="2"/>
  <c r="M32" i="2"/>
  <c r="M31" i="2"/>
  <c r="M30" i="2"/>
  <c r="M29" i="2"/>
  <c r="M28" i="2"/>
  <c r="M27" i="2"/>
  <c r="M26" i="2"/>
  <c r="L25" i="2"/>
  <c r="K25" i="2"/>
  <c r="J25" i="2"/>
  <c r="I25" i="2"/>
  <c r="H25" i="2"/>
  <c r="G25" i="2"/>
  <c r="F25" i="2"/>
  <c r="E25" i="2"/>
  <c r="D25" i="2"/>
  <c r="C25" i="2"/>
  <c r="M24" i="2"/>
  <c r="M23" i="2"/>
  <c r="M22" i="2"/>
  <c r="M21" i="2"/>
  <c r="L20" i="2"/>
  <c r="K20" i="2"/>
  <c r="J20" i="2"/>
  <c r="I20" i="2"/>
  <c r="H20" i="2"/>
  <c r="G20" i="2"/>
  <c r="F20" i="2"/>
  <c r="E20" i="2"/>
  <c r="D20" i="2"/>
  <c r="C20" i="2"/>
  <c r="M19" i="2"/>
  <c r="M18" i="2"/>
  <c r="M17" i="2"/>
  <c r="M16" i="2"/>
  <c r="M15" i="2"/>
  <c r="M14" i="2"/>
  <c r="L13" i="2"/>
  <c r="L38" i="2" s="1"/>
  <c r="K13" i="2"/>
  <c r="J13" i="2"/>
  <c r="I13" i="2"/>
  <c r="H13" i="2"/>
  <c r="H38" i="2" s="1"/>
  <c r="G13" i="2"/>
  <c r="F13" i="2"/>
  <c r="E13" i="2"/>
  <c r="D13" i="2"/>
  <c r="D38" i="2" s="1"/>
  <c r="C13" i="2"/>
  <c r="M11" i="2"/>
  <c r="M10" i="2"/>
  <c r="M9" i="2"/>
  <c r="M8" i="2"/>
  <c r="M7" i="2"/>
  <c r="M6" i="2"/>
  <c r="L4" i="2"/>
  <c r="K4" i="2"/>
  <c r="J4" i="2"/>
  <c r="I4" i="2"/>
  <c r="H4" i="2"/>
  <c r="G4" i="2"/>
  <c r="F4" i="2"/>
  <c r="E4" i="2"/>
  <c r="D4" i="2"/>
  <c r="C4" i="2"/>
  <c r="C3" i="2" s="1"/>
  <c r="L2" i="2"/>
  <c r="C20" i="1"/>
  <c r="D20" i="1"/>
  <c r="E20" i="1"/>
  <c r="F20" i="1"/>
  <c r="C13" i="1"/>
  <c r="D13" i="1"/>
  <c r="E13" i="1"/>
  <c r="G13" i="1"/>
  <c r="H13" i="1"/>
  <c r="I13" i="1"/>
  <c r="J13" i="1"/>
  <c r="K13" i="1"/>
  <c r="L13" i="1"/>
  <c r="F13" i="1"/>
  <c r="M22" i="1"/>
  <c r="M19" i="1"/>
  <c r="H20" i="1"/>
  <c r="I20" i="1"/>
  <c r="J20" i="1"/>
  <c r="K20" i="1"/>
  <c r="L20" i="1"/>
  <c r="G20" i="1"/>
  <c r="M26" i="1"/>
  <c r="L27" i="1"/>
  <c r="J27" i="1"/>
  <c r="K27" i="1"/>
  <c r="L2" i="1"/>
  <c r="M24" i="1"/>
  <c r="M18" i="1"/>
  <c r="M33" i="1"/>
  <c r="C4" i="1"/>
  <c r="C3" i="1" s="1"/>
  <c r="D27" i="1"/>
  <c r="E27" i="1"/>
  <c r="F27" i="1"/>
  <c r="G27" i="1"/>
  <c r="D4" i="1"/>
  <c r="E4" i="1"/>
  <c r="F4" i="1"/>
  <c r="G4" i="1"/>
  <c r="M25" i="1"/>
  <c r="M40" i="1"/>
  <c r="M28" i="1"/>
  <c r="M36" i="1"/>
  <c r="I27" i="1"/>
  <c r="H27" i="1"/>
  <c r="M7" i="1"/>
  <c r="M8" i="1"/>
  <c r="M9" i="1"/>
  <c r="M10" i="1"/>
  <c r="M11" i="1"/>
  <c r="M6" i="1"/>
  <c r="M39" i="1"/>
  <c r="M17" i="1"/>
  <c r="M41" i="1"/>
  <c r="M29" i="1"/>
  <c r="M30" i="1"/>
  <c r="M31" i="1"/>
  <c r="M32" i="1"/>
  <c r="M34" i="1"/>
  <c r="M35" i="1"/>
  <c r="M37" i="1"/>
  <c r="M38" i="1"/>
  <c r="M23" i="1"/>
  <c r="M21" i="1"/>
  <c r="M14" i="1"/>
  <c r="M16" i="1"/>
  <c r="M15" i="1"/>
  <c r="C27" i="1"/>
  <c r="L4" i="1"/>
  <c r="K4" i="1"/>
  <c r="J4" i="1"/>
  <c r="I4" i="1"/>
  <c r="H4" i="1"/>
  <c r="H3" i="2" l="1"/>
  <c r="F38" i="2"/>
  <c r="J38" i="2"/>
  <c r="G38" i="2"/>
  <c r="K38" i="2"/>
  <c r="M20" i="2"/>
  <c r="M25" i="2"/>
  <c r="D3" i="2"/>
  <c r="M13" i="2"/>
  <c r="M4" i="2"/>
  <c r="E38" i="2"/>
  <c r="I38" i="2"/>
  <c r="C38" i="2"/>
  <c r="M13" i="1"/>
  <c r="D42" i="1"/>
  <c r="E42" i="1"/>
  <c r="G42" i="1"/>
  <c r="J42" i="1"/>
  <c r="L42" i="1"/>
  <c r="D3" i="1"/>
  <c r="H3" i="1"/>
  <c r="F42" i="1"/>
  <c r="K42" i="1"/>
  <c r="I42" i="1"/>
  <c r="C42" i="1"/>
  <c r="H42" i="1"/>
  <c r="M4" i="1"/>
  <c r="M27" i="1"/>
  <c r="M38" i="2" l="1"/>
  <c r="M42" i="1"/>
</calcChain>
</file>

<file path=xl/sharedStrings.xml><?xml version="1.0" encoding="utf-8"?>
<sst xmlns="http://schemas.openxmlformats.org/spreadsheetml/2006/main" count="104" uniqueCount="53">
  <si>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</si>
  <si>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</si>
  <si>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</si>
  <si>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</si>
  <si>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</si>
  <si>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</si>
  <si>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</si>
  <si>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</si>
  <si>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</si>
  <si>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</si>
  <si>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JKL-U2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</si>
  <si>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</si>
  <si>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</si>
  <si>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</si>
  <si>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</si>
  <si>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</si>
  <si>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</si>
  <si>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</si>
  <si>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</si>
  <si>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</si>
  <si>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</si>
  <si>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</si>
  <si>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</si>
  <si>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ESPRIT MACAO COMMERCIAL OFFSHORE LTD.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</si>
  <si>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</si>
  <si>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</si>
  <si>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</si>
  <si>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</si>
  <si>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</si>
  <si>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</si>
  <si>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</si>
  <si>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</si>
  <si>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</si>
  <si>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</si>
  <si>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</si>
  <si>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COTTON ON</t>
  </si>
  <si>
    <t>MARKS &amp; SPENCER PLC</t>
  </si>
  <si>
    <t>TOM TAILOR SOURCING LTD.</t>
  </si>
  <si>
    <t>CAMEL ACTIVE / BHB-Fashion Service Gmbh</t>
  </si>
  <si>
    <t>Before Apr</t>
  </si>
  <si>
    <t>1-7'/Apr</t>
  </si>
  <si>
    <t>8-15'/Apr</t>
  </si>
  <si>
    <t>16-23'/Apr</t>
  </si>
  <si>
    <t>01-05'/May</t>
  </si>
  <si>
    <t>6-10'/May</t>
  </si>
  <si>
    <t>11-20'/May</t>
  </si>
  <si>
    <t>21-31'/May</t>
  </si>
  <si>
    <t>24-30'/Apr</t>
  </si>
  <si>
    <t>Apr-24 Dummy Sewing plan analysis</t>
  </si>
  <si>
    <t>OCHNIK</t>
  </si>
  <si>
    <t>ITX LADIES</t>
  </si>
  <si>
    <t>ITX KIDS</t>
  </si>
  <si>
    <t>Apr-24 Sewing plan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</si>
</sst>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9" xfId="0" applyFon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1" fillId="0" borderId="13" xfId="0" applyFont="1" applyBorder="1"/>
    <xf numFmtId="164" fontId="0" fillId="0" borderId="14" xfId="0" applyNumberFormat="1" applyBorder="1"/>
    <xf numFmtId="3" fontId="0" fillId="0" borderId="0" xfId="0" applyNumberFormat="1"/>
    <xf numFmtId="164" fontId="0" fillId="0" borderId="16" xfId="0" applyNumberForma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2" borderId="17" xfId="0" applyFont="1" applyFill="1" applyBorder="1"/>
    <xf numFmtId="3" fontId="1" fillId="2" borderId="6" xfId="0" applyNumberFormat="1" applyFont="1" applyFill="1" applyBorder="1"/>
    <xf numFmtId="3" fontId="1" fillId="2" borderId="7" xfId="0" applyNumberFormat="1" applyFont="1" applyFill="1" applyBorder="1"/>
    <xf numFmtId="3" fontId="1" fillId="2" borderId="24" xfId="0" applyNumberFormat="1" applyFont="1" applyFill="1" applyBorder="1"/>
    <xf numFmtId="3" fontId="1" fillId="2" borderId="25" xfId="0" applyNumberFormat="1" applyFont="1" applyFill="1" applyBorder="1"/>
    <xf numFmtId="3" fontId="1" fillId="2" borderId="26" xfId="0" applyNumberFormat="1" applyFont="1" applyFill="1" applyBorder="1"/>
    <xf numFmtId="3" fontId="1" fillId="2" borderId="27" xfId="0" applyNumberFormat="1" applyFont="1" applyFill="1" applyBorder="1"/>
    <xf numFmtId="0" fontId="0" fillId="0" borderId="12" xfId="0" applyBorder="1"/>
    <xf numFmtId="164" fontId="0" fillId="0" borderId="28" xfId="0" applyNumberFormat="1" applyBorder="1"/>
    <xf numFmtId="0" fontId="1" fillId="2" borderId="5" xfId="0" applyFont="1" applyFill="1" applyBorder="1"/>
    <xf numFmtId="0" fontId="1" fillId="0" borderId="30" xfId="0" applyFont="1" applyBorder="1"/>
    <xf numFmtId="164" fontId="0" fillId="0" borderId="31" xfId="0" applyNumberFormat="1" applyBorder="1"/>
    <xf numFmtId="0" fontId="0" fillId="0" borderId="16" xfId="0" applyBorder="1"/>
    <xf numFmtId="3" fontId="2" fillId="0" borderId="1" xfId="0" applyNumberFormat="1" applyFont="1" applyBorder="1" applyAlignment="1"/>
    <xf numFmtId="164" fontId="0" fillId="0" borderId="34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164" fontId="0" fillId="0" borderId="9" xfId="0" applyNumberFormat="1" applyBorder="1"/>
    <xf numFmtId="164" fontId="0" fillId="0" borderId="13" xfId="0" applyNumberFormat="1" applyBorder="1"/>
    <xf numFmtId="164" fontId="0" fillId="0" borderId="37" xfId="0" applyNumberFormat="1" applyBorder="1"/>
    <xf numFmtId="0" fontId="1" fillId="0" borderId="4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3" fontId="1" fillId="2" borderId="32" xfId="0" applyNumberFormat="1" applyFont="1" applyFill="1" applyBorder="1"/>
    <xf numFmtId="164" fontId="0" fillId="0" borderId="41" xfId="0" applyNumberFormat="1" applyBorder="1"/>
    <xf numFmtId="3" fontId="1" fillId="2" borderId="5" xfId="0" applyNumberFormat="1" applyFont="1" applyFill="1" applyBorder="1"/>
    <xf numFmtId="164" fontId="0" fillId="0" borderId="30" xfId="0" applyNumberFormat="1" applyBorder="1"/>
    <xf numFmtId="164" fontId="0" fillId="0" borderId="43" xfId="0" applyNumberFormat="1" applyBorder="1"/>
    <xf numFmtId="0" fontId="0" fillId="0" borderId="42" xfId="0" applyBorder="1"/>
    <xf numFmtId="0" fontId="3" fillId="0" borderId="24" xfId="0" applyFont="1" applyBorder="1" applyAlignment="1">
      <alignment horizontal="center" vertical="center" wrapText="1"/>
    </xf>
    <xf numFmtId="0" fontId="1" fillId="2" borderId="25" xfId="0" quotePrefix="1" applyFont="1" applyFill="1" applyBorder="1" applyAlignment="1">
      <alignment horizontal="center" vertical="center"/>
    </xf>
    <xf numFmtId="0" fontId="1" fillId="2" borderId="32" xfId="0" quotePrefix="1" applyFont="1" applyFill="1" applyBorder="1" applyAlignment="1">
      <alignment horizontal="center" vertical="center"/>
    </xf>
    <xf numFmtId="164" fontId="0" fillId="2" borderId="36" xfId="0" applyNumberFormat="1" applyFill="1" applyBorder="1"/>
    <xf numFmtId="164" fontId="0" fillId="2" borderId="10" xfId="0" applyNumberFormat="1" applyFill="1" applyBorder="1"/>
    <xf numFmtId="164" fontId="0" fillId="2" borderId="37" xfId="0" applyNumberFormat="1" applyFill="1" applyBorder="1"/>
    <xf numFmtId="164" fontId="0" fillId="2" borderId="9" xfId="0" applyNumberFormat="1" applyFill="1" applyBorder="1"/>
    <xf numFmtId="164" fontId="0" fillId="2" borderId="12" xfId="0" applyNumberFormat="1" applyFill="1" applyBorder="1"/>
    <xf numFmtId="164" fontId="0" fillId="2" borderId="34" xfId="0" applyNumberFormat="1" applyFill="1" applyBorder="1"/>
    <xf numFmtId="164" fontId="0" fillId="2" borderId="13" xfId="0" applyNumberFormat="1" applyFill="1" applyBorder="1"/>
    <xf numFmtId="164" fontId="0" fillId="2" borderId="14" xfId="0" applyNumberFormat="1" applyFill="1" applyBorder="1"/>
    <xf numFmtId="164" fontId="0" fillId="2" borderId="35" xfId="0" applyNumberFormat="1" applyFill="1" applyBorder="1"/>
    <xf numFmtId="164" fontId="0" fillId="2" borderId="28" xfId="0" applyNumberFormat="1" applyFill="1" applyBorder="1"/>
    <xf numFmtId="3" fontId="0" fillId="2" borderId="42" xfId="0" applyNumberFormat="1" applyFill="1" applyBorder="1"/>
    <xf numFmtId="164" fontId="0" fillId="2" borderId="30" xfId="0" applyNumberFormat="1" applyFill="1" applyBorder="1"/>
    <xf numFmtId="164" fontId="0" fillId="2" borderId="16" xfId="0" applyNumberFormat="1" applyFill="1" applyBorder="1"/>
    <xf numFmtId="164" fontId="0" fillId="2" borderId="43" xfId="0" applyNumberFormat="1" applyFill="1" applyBorder="1"/>
    <xf numFmtId="164" fontId="0" fillId="2" borderId="11" xfId="0" applyNumberFormat="1" applyFill="1" applyBorder="1"/>
    <xf numFmtId="164" fontId="0" fillId="2" borderId="31" xfId="0" applyNumberFormat="1" applyFill="1" applyBorder="1"/>
    <xf numFmtId="0" fontId="1" fillId="2" borderId="8" xfId="0" applyFont="1" applyFill="1" applyBorder="1" applyAlignment="1">
      <alignment horizontal="center" vertical="center"/>
    </xf>
    <xf numFmtId="164" fontId="0" fillId="2" borderId="38" xfId="0" applyNumberFormat="1" applyFill="1" applyBorder="1"/>
    <xf numFmtId="164" fontId="0" fillId="2" borderId="39" xfId="0" applyNumberFormat="1" applyFill="1" applyBorder="1"/>
    <xf numFmtId="164" fontId="0" fillId="2" borderId="44" xfId="0" applyNumberFormat="1" applyFill="1" applyBorder="1"/>
    <xf numFmtId="164" fontId="0" fillId="2" borderId="45" xfId="0" applyNumberFormat="1" applyFill="1" applyBorder="1"/>
    <xf numFmtId="164" fontId="1" fillId="2" borderId="25" xfId="0" applyNumberFormat="1" applyFont="1" applyFill="1" applyBorder="1"/>
    <xf numFmtId="164" fontId="1" fillId="2" borderId="26" xfId="0" applyNumberFormat="1" applyFont="1" applyFill="1" applyBorder="1"/>
    <xf numFmtId="164" fontId="1" fillId="2" borderId="27" xfId="0" applyNumberFormat="1" applyFont="1" applyFill="1" applyBorder="1"/>
    <xf numFmtId="165" fontId="1" fillId="0" borderId="0" xfId="0" applyNumberFormat="1" applyFont="1"/>
    <xf numFmtId="0" fontId="1" fillId="0" borderId="22" xfId="0" applyFont="1" applyBorder="1" applyAlignment="1">
      <alignment horizontal="center" vertical="center"/>
    </xf>
    <xf numFmtId="164" fontId="0" fillId="0" borderId="46" xfId="0" applyNumberFormat="1" applyBorder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5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2" fillId="0" borderId="26" xfId="0" applyNumberFormat="1" applyFont="1" applyBorder="1" applyAlignment="1">
      <alignment horizontal="center"/>
    </xf>
    <xf numFmtId="3" fontId="2" fillId="0" borderId="27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abSelected="1" zoomScaleNormal="100" zoomScaleSheetLayoutView="100" workbookViewId="0">
      <selection activeCell="L37" sqref="L37"/>
    </sheetView>
  </sheetViews>
  <sheetFormatPr defaultRowHeight="15" x14ac:dyDescent="0.25"/>
  <cols>
    <col min="1" max="1" width="10.140625" customWidth="1"/>
    <col min="2" max="2" width="40.7109375" customWidth="1"/>
    <col min="3" max="3" width="11.7109375" customWidth="1"/>
    <col min="4" max="7" width="11" customWidth="1"/>
    <col min="8" max="10" width="10.5703125" customWidth="1"/>
    <col min="11" max="11" width="10.42578125" customWidth="1"/>
    <col min="12" max="12" width="10.140625" customWidth="1"/>
    <col min="13" max="13" width="11.5703125" customWidth="1"/>
    <col min="15" max="15" width="10.140625" bestFit="1" customWidth="1"/>
  </cols>
  <sheetData>
    <row r="1" spans="1:17" ht="26.25" x14ac:dyDescent="0.4">
      <c r="B1" s="76" t="s">
        <v>52</v>
      </c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7" ht="15.75" thickBot="1" x14ac:dyDescent="0.3">
      <c r="A2" s="1" t="s">
        <v>0</v>
      </c>
      <c r="L2" s="70">
        <f ca="1">TODAY()</f>
        <v>45383</v>
      </c>
    </row>
    <row r="3" spans="1:17" ht="16.5" thickBot="1" x14ac:dyDescent="0.3">
      <c r="C3" s="27">
        <f>C4</f>
        <v>1725179</v>
      </c>
      <c r="D3" s="81">
        <f>SUM(D4:G4)</f>
        <v>8921088</v>
      </c>
      <c r="E3" s="82"/>
      <c r="F3" s="82"/>
      <c r="G3" s="83"/>
      <c r="H3" s="78">
        <f>SUM(H4:L4)</f>
        <v>1099131</v>
      </c>
      <c r="I3" s="79"/>
      <c r="J3" s="79"/>
      <c r="K3" s="79"/>
      <c r="L3" s="80"/>
    </row>
    <row r="4" spans="1:17" ht="15.75" thickBot="1" x14ac:dyDescent="0.3">
      <c r="B4" s="1" t="s">
        <v>1</v>
      </c>
      <c r="C4" s="18">
        <f>SUM(C6:C11)</f>
        <v>1725179</v>
      </c>
      <c r="D4" s="18">
        <f t="shared" ref="D4:G4" si="0">SUM(D6:D11)</f>
        <v>2258605</v>
      </c>
      <c r="E4" s="19">
        <f t="shared" si="0"/>
        <v>1878686</v>
      </c>
      <c r="F4" s="19">
        <f t="shared" si="0"/>
        <v>2813206</v>
      </c>
      <c r="G4" s="19">
        <f t="shared" si="0"/>
        <v>1970591</v>
      </c>
      <c r="H4" s="18">
        <f t="shared" ref="H4" si="1">SUM(H6:H11)</f>
        <v>743961</v>
      </c>
      <c r="I4" s="19">
        <f>SUM(I6:I11)</f>
        <v>241289</v>
      </c>
      <c r="J4" s="19">
        <f>SUM(J6:J11)</f>
        <v>68695</v>
      </c>
      <c r="K4" s="19">
        <f>SUM(K6:K11)</f>
        <v>0</v>
      </c>
      <c r="L4" s="20">
        <f>SUM(L6:L11)</f>
        <v>45186</v>
      </c>
      <c r="M4" s="17">
        <f>SUM(M6:M11)</f>
        <v>11745398</v>
      </c>
      <c r="P4" s="9"/>
      <c r="Q4" s="9"/>
    </row>
    <row r="5" spans="1:17" ht="15.75" thickBot="1" x14ac:dyDescent="0.3">
      <c r="B5" s="2" t="s">
        <v>2</v>
      </c>
      <c r="C5" s="43" t="s">
        <v>39</v>
      </c>
      <c r="D5" s="44" t="s">
        <v>40</v>
      </c>
      <c r="E5" s="45" t="s">
        <v>41</v>
      </c>
      <c r="F5" s="45" t="s">
        <v>42</v>
      </c>
      <c r="G5" s="45" t="s">
        <v>47</v>
      </c>
      <c r="H5" s="34" t="s">
        <v>43</v>
      </c>
      <c r="I5" s="35" t="s">
        <v>44</v>
      </c>
      <c r="J5" s="35" t="s">
        <v>45</v>
      </c>
      <c r="K5" s="35" t="s">
        <v>46</v>
      </c>
      <c r="L5" s="36" t="s">
        <v>3</v>
      </c>
      <c r="M5" s="62" t="s">
        <v>4</v>
      </c>
    </row>
    <row r="6" spans="1:17" x14ac:dyDescent="0.25">
      <c r="B6" s="3" t="s">
        <v>5</v>
      </c>
      <c r="C6" s="5">
        <v>144281</v>
      </c>
      <c r="D6" s="46">
        <v>606533</v>
      </c>
      <c r="E6" s="47">
        <v>423686</v>
      </c>
      <c r="F6" s="47">
        <v>585484</v>
      </c>
      <c r="G6" s="48">
        <v>585372</v>
      </c>
      <c r="H6" s="30">
        <v>238093</v>
      </c>
      <c r="I6" s="4">
        <v>62908</v>
      </c>
      <c r="J6" s="4">
        <v>7431</v>
      </c>
      <c r="K6" s="4"/>
      <c r="L6" s="22"/>
      <c r="M6" s="63">
        <f t="shared" ref="M6:M11" si="2">SUM(C6:L6)</f>
        <v>2653788</v>
      </c>
    </row>
    <row r="7" spans="1:17" x14ac:dyDescent="0.25">
      <c r="B7" s="3" t="s">
        <v>6</v>
      </c>
      <c r="C7" s="5">
        <v>152009</v>
      </c>
      <c r="D7" s="49">
        <v>775142</v>
      </c>
      <c r="E7" s="50">
        <v>299795</v>
      </c>
      <c r="F7" s="50">
        <v>611411</v>
      </c>
      <c r="G7" s="51">
        <v>189569</v>
      </c>
      <c r="H7" s="31">
        <v>13993</v>
      </c>
      <c r="I7" s="21"/>
      <c r="J7" s="6"/>
      <c r="K7" s="6"/>
      <c r="L7" s="5"/>
      <c r="M7" s="63">
        <f t="shared" si="2"/>
        <v>2041919</v>
      </c>
    </row>
    <row r="8" spans="1:17" x14ac:dyDescent="0.25">
      <c r="B8" s="3" t="s">
        <v>7</v>
      </c>
      <c r="C8" s="5">
        <v>140054</v>
      </c>
      <c r="D8" s="49">
        <v>269014</v>
      </c>
      <c r="E8" s="50">
        <v>43754</v>
      </c>
      <c r="F8" s="50">
        <v>513896</v>
      </c>
      <c r="G8" s="51">
        <v>297089</v>
      </c>
      <c r="H8" s="31">
        <v>56255</v>
      </c>
      <c r="I8" s="6"/>
      <c r="J8" s="6">
        <v>17168</v>
      </c>
      <c r="K8" s="6"/>
      <c r="L8" s="5">
        <v>13314</v>
      </c>
      <c r="M8" s="63">
        <f t="shared" si="2"/>
        <v>1350544</v>
      </c>
    </row>
    <row r="9" spans="1:17" x14ac:dyDescent="0.25">
      <c r="B9" s="3" t="s">
        <v>8</v>
      </c>
      <c r="C9" s="5">
        <v>526387</v>
      </c>
      <c r="D9" s="49">
        <v>180829</v>
      </c>
      <c r="E9" s="50">
        <v>220850</v>
      </c>
      <c r="F9" s="50">
        <v>147989</v>
      </c>
      <c r="G9" s="51">
        <v>67040</v>
      </c>
      <c r="H9" s="31">
        <v>137074</v>
      </c>
      <c r="I9" s="6"/>
      <c r="J9" s="6">
        <v>18376</v>
      </c>
      <c r="K9" s="6"/>
      <c r="L9" s="5">
        <v>18823</v>
      </c>
      <c r="M9" s="63">
        <f t="shared" si="2"/>
        <v>1317368</v>
      </c>
    </row>
    <row r="10" spans="1:17" x14ac:dyDescent="0.25">
      <c r="B10" s="3" t="s">
        <v>9</v>
      </c>
      <c r="C10" s="5">
        <v>431665</v>
      </c>
      <c r="D10" s="49">
        <v>193033</v>
      </c>
      <c r="E10" s="50">
        <v>487030</v>
      </c>
      <c r="F10" s="50">
        <v>623626</v>
      </c>
      <c r="G10" s="51">
        <v>251697</v>
      </c>
      <c r="H10" s="31">
        <v>155953</v>
      </c>
      <c r="I10" s="6">
        <v>71995</v>
      </c>
      <c r="J10">
        <v>3100</v>
      </c>
      <c r="K10" s="6"/>
      <c r="L10" s="5"/>
      <c r="M10" s="63">
        <f t="shared" si="2"/>
        <v>2218099</v>
      </c>
    </row>
    <row r="11" spans="1:17" ht="15.75" thickBot="1" x14ac:dyDescent="0.3">
      <c r="B11" s="7" t="s">
        <v>10</v>
      </c>
      <c r="C11" s="25">
        <v>330783</v>
      </c>
      <c r="D11" s="52">
        <v>234054</v>
      </c>
      <c r="E11" s="53">
        <v>403571</v>
      </c>
      <c r="F11" s="53">
        <v>330800</v>
      </c>
      <c r="G11" s="54">
        <v>579824</v>
      </c>
      <c r="H11" s="32">
        <v>142593</v>
      </c>
      <c r="I11" s="8">
        <v>106386</v>
      </c>
      <c r="J11" s="8">
        <v>22620</v>
      </c>
      <c r="K11" s="8"/>
      <c r="L11" s="25">
        <v>13049</v>
      </c>
      <c r="M11" s="64">
        <f t="shared" si="2"/>
        <v>2163680</v>
      </c>
    </row>
    <row r="12" spans="1:17" ht="15.75" thickBot="1" x14ac:dyDescent="0.3">
      <c r="A12" s="77" t="s">
        <v>11</v>
      </c>
      <c r="B12" s="77"/>
      <c r="C12" s="77"/>
      <c r="D12" s="9"/>
      <c r="E12" s="9"/>
      <c r="F12" s="9"/>
      <c r="G12" s="9"/>
      <c r="H12" s="9"/>
      <c r="I12" s="9"/>
      <c r="J12" s="9"/>
      <c r="K12" s="9"/>
    </row>
    <row r="13" spans="1:17" ht="15.75" thickBot="1" x14ac:dyDescent="0.3">
      <c r="A13" s="73" t="s">
        <v>12</v>
      </c>
      <c r="B13" s="14" t="s">
        <v>13</v>
      </c>
      <c r="C13" s="15">
        <f>SUM(C14:C19)</f>
        <v>507505</v>
      </c>
      <c r="D13" s="15">
        <f>SUM(D14:D19)</f>
        <v>840285</v>
      </c>
      <c r="E13" s="15">
        <f>SUM(E14:E19)</f>
        <v>414107</v>
      </c>
      <c r="F13" s="15">
        <f>SUM(F14:F19)</f>
        <v>708911</v>
      </c>
      <c r="G13" s="15">
        <f>SUM(G14:G19)</f>
        <v>239362</v>
      </c>
      <c r="H13" s="15">
        <f>SUM(H14:H19)</f>
        <v>113724</v>
      </c>
      <c r="I13" s="15">
        <f>SUM(I14:I19)</f>
        <v>0</v>
      </c>
      <c r="J13" s="15">
        <f>SUM(J14:J19)</f>
        <v>11273</v>
      </c>
      <c r="K13" s="15">
        <f>SUM(K14:K19)</f>
        <v>0</v>
      </c>
      <c r="L13" s="15">
        <f>SUM(L14:L19)</f>
        <v>2437</v>
      </c>
      <c r="M13" s="15">
        <f>SUM(M14:M19)</f>
        <v>2837604</v>
      </c>
      <c r="Q13" s="9"/>
    </row>
    <row r="14" spans="1:17" x14ac:dyDescent="0.25">
      <c r="A14" s="74"/>
      <c r="B14" s="11" t="s">
        <v>20</v>
      </c>
      <c r="C14" s="33">
        <v>46816</v>
      </c>
      <c r="D14" s="46">
        <v>669657</v>
      </c>
      <c r="E14" s="47">
        <v>283749</v>
      </c>
      <c r="F14" s="47">
        <v>469351</v>
      </c>
      <c r="G14" s="55">
        <v>195639</v>
      </c>
      <c r="H14" s="30">
        <v>86144</v>
      </c>
      <c r="I14" s="6"/>
      <c r="J14" s="4">
        <v>11273</v>
      </c>
      <c r="K14" s="4"/>
      <c r="L14" s="4">
        <v>2437</v>
      </c>
      <c r="M14" s="65">
        <f>SUM(C14:L14)</f>
        <v>1765066</v>
      </c>
      <c r="P14" s="9"/>
    </row>
    <row r="15" spans="1:17" x14ac:dyDescent="0.25">
      <c r="A15" s="74"/>
      <c r="B15" s="11" t="s">
        <v>21</v>
      </c>
      <c r="C15" s="28">
        <v>31729</v>
      </c>
      <c r="D15" s="46">
        <v>169427</v>
      </c>
      <c r="E15" s="47">
        <v>51446</v>
      </c>
      <c r="F15" s="47">
        <v>214611</v>
      </c>
      <c r="G15" s="55">
        <v>7763</v>
      </c>
      <c r="H15" s="30">
        <v>18197</v>
      </c>
      <c r="I15" s="4"/>
      <c r="J15" s="4"/>
      <c r="K15" s="4"/>
      <c r="L15" s="22"/>
      <c r="M15" s="65">
        <f>SUM(C15:L15)</f>
        <v>493173</v>
      </c>
      <c r="O15" s="9"/>
    </row>
    <row r="16" spans="1:17" x14ac:dyDescent="0.25">
      <c r="A16" s="74"/>
      <c r="B16" s="12" t="s">
        <v>28</v>
      </c>
      <c r="D16" s="46"/>
      <c r="E16" s="47"/>
      <c r="F16" s="47">
        <v>1200</v>
      </c>
      <c r="G16" s="47">
        <v>1200</v>
      </c>
      <c r="H16" s="31"/>
      <c r="I16" s="6"/>
      <c r="J16" s="6"/>
      <c r="K16" s="6"/>
      <c r="L16" s="5"/>
      <c r="M16" s="65">
        <f t="shared" ref="M16:M19" si="3">SUM(C16:L16)</f>
        <v>2400</v>
      </c>
    </row>
    <row r="17" spans="1:15" ht="15.75" thickBot="1" x14ac:dyDescent="0.3">
      <c r="A17" s="74"/>
      <c r="B17" s="13" t="s">
        <v>31</v>
      </c>
      <c r="C17" s="38">
        <v>428960</v>
      </c>
      <c r="D17" s="57">
        <v>1201</v>
      </c>
      <c r="E17" s="58">
        <v>78912</v>
      </c>
      <c r="F17" s="58">
        <v>5464</v>
      </c>
      <c r="G17" s="59">
        <v>34760</v>
      </c>
      <c r="H17" s="40">
        <v>9383</v>
      </c>
      <c r="I17" s="10"/>
      <c r="J17" s="10"/>
      <c r="K17" s="10"/>
      <c r="L17" s="41"/>
      <c r="M17" s="65">
        <f t="shared" si="3"/>
        <v>558680</v>
      </c>
    </row>
    <row r="18" spans="1:15" x14ac:dyDescent="0.25">
      <c r="A18" s="74"/>
      <c r="B18" s="13" t="s">
        <v>33</v>
      </c>
      <c r="C18" s="28"/>
      <c r="D18" s="49"/>
      <c r="E18" s="50"/>
      <c r="F18" s="50">
        <v>12285</v>
      </c>
      <c r="G18" s="60"/>
      <c r="H18" s="31"/>
      <c r="I18" s="6"/>
      <c r="J18" s="6"/>
      <c r="K18" s="6"/>
      <c r="L18" s="5"/>
      <c r="M18" s="65">
        <f t="shared" si="3"/>
        <v>12285</v>
      </c>
    </row>
    <row r="19" spans="1:15" ht="15.75" thickBot="1" x14ac:dyDescent="0.3">
      <c r="A19" s="71"/>
      <c r="B19" s="13" t="s">
        <v>49</v>
      </c>
      <c r="C19" s="72"/>
      <c r="D19" s="49"/>
      <c r="E19" s="50"/>
      <c r="F19" s="50">
        <v>6000</v>
      </c>
      <c r="G19" s="60"/>
      <c r="H19" s="31"/>
      <c r="I19" s="6"/>
      <c r="J19" s="6"/>
      <c r="K19" s="6"/>
      <c r="L19" s="5"/>
      <c r="M19" s="65">
        <f t="shared" si="3"/>
        <v>6000</v>
      </c>
    </row>
    <row r="20" spans="1:15" ht="15.75" customHeight="1" thickBot="1" x14ac:dyDescent="0.3">
      <c r="A20" s="84" t="s">
        <v>14</v>
      </c>
      <c r="B20" s="14" t="s">
        <v>13</v>
      </c>
      <c r="C20" s="16">
        <f t="shared" ref="C20:F20" si="4">SUM(C21:C26)</f>
        <v>837837</v>
      </c>
      <c r="D20" s="16">
        <f t="shared" si="4"/>
        <v>974199</v>
      </c>
      <c r="E20" s="16">
        <f t="shared" si="4"/>
        <v>1327290</v>
      </c>
      <c r="F20" s="16">
        <f t="shared" si="4"/>
        <v>1363569</v>
      </c>
      <c r="G20" s="16">
        <f>SUM(G21:G26)</f>
        <v>1425694</v>
      </c>
      <c r="H20" s="16">
        <f t="shared" ref="H20:L20" si="5">SUM(H21:H26)</f>
        <v>512919</v>
      </c>
      <c r="I20" s="16">
        <f t="shared" si="5"/>
        <v>241289</v>
      </c>
      <c r="J20" s="16">
        <f t="shared" si="5"/>
        <v>10531</v>
      </c>
      <c r="K20" s="16">
        <f t="shared" si="5"/>
        <v>0</v>
      </c>
      <c r="L20" s="16">
        <f t="shared" si="5"/>
        <v>0</v>
      </c>
      <c r="M20" s="16">
        <f>SUM(M21:M26)</f>
        <v>6693328</v>
      </c>
      <c r="O20" s="9"/>
    </row>
    <row r="21" spans="1:15" x14ac:dyDescent="0.25">
      <c r="A21" s="85"/>
      <c r="B21" s="12" t="s">
        <v>22</v>
      </c>
      <c r="C21" s="28">
        <v>376795</v>
      </c>
      <c r="D21" s="49">
        <v>652279</v>
      </c>
      <c r="E21" s="50">
        <v>607965</v>
      </c>
      <c r="F21" s="50">
        <v>454898</v>
      </c>
      <c r="G21" s="60">
        <v>752046</v>
      </c>
      <c r="H21" s="31">
        <v>157154</v>
      </c>
      <c r="I21" s="6">
        <v>153504</v>
      </c>
      <c r="J21" s="6">
        <v>7431</v>
      </c>
      <c r="K21" s="6"/>
      <c r="L21" s="5"/>
      <c r="M21" s="65">
        <f t="shared" ref="M21:M26" si="6">SUM(C21:L21)</f>
        <v>3162072</v>
      </c>
    </row>
    <row r="22" spans="1:15" x14ac:dyDescent="0.25">
      <c r="A22" s="85"/>
      <c r="B22" s="12" t="s">
        <v>26</v>
      </c>
      <c r="C22" s="28">
        <v>317716</v>
      </c>
      <c r="D22" s="49">
        <v>320520</v>
      </c>
      <c r="E22" s="50">
        <v>669086</v>
      </c>
      <c r="F22" s="50">
        <v>902685</v>
      </c>
      <c r="G22" s="60">
        <v>662348</v>
      </c>
      <c r="H22" s="31">
        <v>331283</v>
      </c>
      <c r="I22" s="6">
        <v>87785</v>
      </c>
      <c r="J22" s="6">
        <v>3100</v>
      </c>
      <c r="K22" s="6"/>
      <c r="L22" s="5"/>
      <c r="M22" s="65">
        <f t="shared" si="6"/>
        <v>3294523</v>
      </c>
    </row>
    <row r="23" spans="1:15" x14ac:dyDescent="0.25">
      <c r="A23" s="85"/>
      <c r="B23" s="12" t="s">
        <v>32</v>
      </c>
      <c r="C23" s="28">
        <v>80676</v>
      </c>
      <c r="D23" s="49">
        <v>1400</v>
      </c>
      <c r="E23" s="50">
        <v>50239</v>
      </c>
      <c r="F23" s="50">
        <v>5986</v>
      </c>
      <c r="G23" s="60"/>
      <c r="H23" s="31"/>
      <c r="I23" s="21"/>
      <c r="J23" s="21"/>
      <c r="K23" s="6"/>
      <c r="L23" s="42"/>
      <c r="M23" s="65">
        <f t="shared" si="6"/>
        <v>138301</v>
      </c>
    </row>
    <row r="24" spans="1:15" x14ac:dyDescent="0.25">
      <c r="A24" s="85"/>
      <c r="B24" s="13" t="s">
        <v>35</v>
      </c>
      <c r="C24" s="38"/>
      <c r="D24" s="57"/>
      <c r="E24" s="58"/>
      <c r="F24" s="58"/>
      <c r="G24" s="59"/>
      <c r="H24" s="40"/>
      <c r="I24" s="26"/>
      <c r="J24" s="26"/>
      <c r="K24" s="10"/>
      <c r="L24" s="41"/>
      <c r="M24" s="65">
        <f t="shared" si="6"/>
        <v>0</v>
      </c>
    </row>
    <row r="25" spans="1:15" x14ac:dyDescent="0.25">
      <c r="A25" s="85"/>
      <c r="B25" s="13" t="s">
        <v>19</v>
      </c>
      <c r="C25" s="38">
        <v>3900</v>
      </c>
      <c r="D25" s="57"/>
      <c r="E25" s="58"/>
      <c r="F25" s="58"/>
      <c r="G25" s="59">
        <v>1300</v>
      </c>
      <c r="H25" s="40"/>
      <c r="I25" s="10"/>
      <c r="J25" s="10"/>
      <c r="K25" s="10"/>
      <c r="L25" s="41"/>
      <c r="M25" s="65">
        <f t="shared" si="6"/>
        <v>5200</v>
      </c>
    </row>
    <row r="26" spans="1:15" ht="15.75" thickBot="1" x14ac:dyDescent="0.3">
      <c r="A26" s="86"/>
      <c r="B26" s="7" t="s">
        <v>51</v>
      </c>
      <c r="C26" s="38">
        <v>58750</v>
      </c>
      <c r="D26" s="57"/>
      <c r="E26" s="58"/>
      <c r="F26" s="58"/>
      <c r="G26" s="59">
        <v>10000</v>
      </c>
      <c r="H26" s="40">
        <v>24482</v>
      </c>
      <c r="I26" s="10"/>
      <c r="J26" s="10"/>
      <c r="K26" s="10"/>
      <c r="L26" s="41"/>
      <c r="M26" s="65">
        <f t="shared" si="6"/>
        <v>93232</v>
      </c>
    </row>
    <row r="27" spans="1:15" ht="15.75" thickBot="1" x14ac:dyDescent="0.3">
      <c r="A27" s="73" t="s">
        <v>15</v>
      </c>
      <c r="B27" s="23" t="s">
        <v>13</v>
      </c>
      <c r="C27" s="37">
        <f t="shared" ref="C27:I27" si="7">SUM(C28:C41)</f>
        <v>379837</v>
      </c>
      <c r="D27" s="39">
        <f t="shared" si="7"/>
        <v>444121</v>
      </c>
      <c r="E27" s="15">
        <f t="shared" si="7"/>
        <v>137289</v>
      </c>
      <c r="F27" s="15">
        <f t="shared" si="7"/>
        <v>740725</v>
      </c>
      <c r="G27" s="16">
        <f t="shared" si="7"/>
        <v>305537</v>
      </c>
      <c r="H27" s="39">
        <f t="shared" si="7"/>
        <v>117318</v>
      </c>
      <c r="I27" s="15">
        <f t="shared" si="7"/>
        <v>0</v>
      </c>
      <c r="J27" s="15">
        <f>SUM(J28:J41)</f>
        <v>46891</v>
      </c>
      <c r="K27" s="15">
        <f>SUM(K28:K41)</f>
        <v>0</v>
      </c>
      <c r="L27" s="16">
        <f>SUM(L28:L41)</f>
        <v>42749</v>
      </c>
      <c r="M27" s="20">
        <f>SUM(M28:M41)</f>
        <v>2214467</v>
      </c>
    </row>
    <row r="28" spans="1:15" x14ac:dyDescent="0.25">
      <c r="A28" s="74"/>
      <c r="B28" s="3" t="s">
        <v>34</v>
      </c>
      <c r="C28" s="28"/>
      <c r="D28" s="49">
        <v>28473</v>
      </c>
      <c r="E28" s="50"/>
      <c r="F28" s="50">
        <v>5995</v>
      </c>
      <c r="G28" s="60"/>
      <c r="H28" s="31"/>
      <c r="I28" s="6"/>
      <c r="J28" s="6"/>
      <c r="K28" s="6"/>
      <c r="L28" s="5"/>
      <c r="M28" s="65">
        <f t="shared" ref="M28:M41" si="8">SUM(C28:L28)</f>
        <v>34468</v>
      </c>
    </row>
    <row r="29" spans="1:15" x14ac:dyDescent="0.25">
      <c r="A29" s="74"/>
      <c r="B29" s="3" t="s">
        <v>23</v>
      </c>
      <c r="C29" s="28"/>
      <c r="D29" s="49"/>
      <c r="E29" s="50"/>
      <c r="F29" s="50"/>
      <c r="G29" s="60"/>
      <c r="H29" s="31"/>
      <c r="I29" s="6"/>
      <c r="J29" s="6"/>
      <c r="K29" s="6"/>
      <c r="L29" s="5"/>
      <c r="M29" s="65">
        <f t="shared" si="8"/>
        <v>0</v>
      </c>
    </row>
    <row r="30" spans="1:15" x14ac:dyDescent="0.25">
      <c r="A30" s="74"/>
      <c r="B30" s="3" t="s">
        <v>24</v>
      </c>
      <c r="C30" s="28"/>
      <c r="D30" s="49"/>
      <c r="E30" s="50"/>
      <c r="F30" s="50">
        <v>51464</v>
      </c>
      <c r="G30" s="60"/>
      <c r="H30" s="31"/>
      <c r="I30" s="6"/>
      <c r="J30" s="6"/>
      <c r="K30" s="6"/>
      <c r="L30" s="5"/>
      <c r="M30" s="65">
        <f t="shared" si="8"/>
        <v>51464</v>
      </c>
    </row>
    <row r="31" spans="1:15" x14ac:dyDescent="0.25">
      <c r="A31" s="74"/>
      <c r="B31" s="3" t="s">
        <v>25</v>
      </c>
      <c r="C31" s="28">
        <v>40444</v>
      </c>
      <c r="D31" s="49">
        <v>14131</v>
      </c>
      <c r="E31" s="50">
        <v>29752</v>
      </c>
      <c r="F31" s="50">
        <v>279924</v>
      </c>
      <c r="G31" s="60">
        <v>229147</v>
      </c>
      <c r="H31" s="31">
        <v>14442</v>
      </c>
      <c r="I31" s="6"/>
      <c r="J31" s="6"/>
      <c r="K31" s="6"/>
      <c r="L31" s="5"/>
      <c r="M31" s="65">
        <f t="shared" si="8"/>
        <v>607840</v>
      </c>
    </row>
    <row r="32" spans="1:15" x14ac:dyDescent="0.25">
      <c r="A32" s="74"/>
      <c r="B32" s="3" t="s">
        <v>27</v>
      </c>
      <c r="C32" s="28">
        <v>29396</v>
      </c>
      <c r="D32" s="49"/>
      <c r="E32" s="50">
        <v>14002</v>
      </c>
      <c r="F32" s="50">
        <v>11021</v>
      </c>
      <c r="G32" s="60">
        <v>36074</v>
      </c>
      <c r="H32" s="31">
        <v>11600</v>
      </c>
      <c r="I32" s="6"/>
      <c r="J32" s="6"/>
      <c r="K32" s="6"/>
      <c r="L32" s="5"/>
      <c r="M32" s="65">
        <f t="shared" si="8"/>
        <v>102093</v>
      </c>
    </row>
    <row r="33" spans="1:13" x14ac:dyDescent="0.25">
      <c r="A33" s="74"/>
      <c r="B33" s="3" t="s">
        <v>36</v>
      </c>
      <c r="C33" s="28"/>
      <c r="D33" s="49"/>
      <c r="E33" s="50"/>
      <c r="F33" s="50"/>
      <c r="G33" s="60"/>
      <c r="H33" s="31"/>
      <c r="I33" s="6"/>
      <c r="J33" s="6"/>
      <c r="K33" s="6"/>
      <c r="L33" s="5"/>
      <c r="M33" s="65">
        <f t="shared" si="8"/>
        <v>0</v>
      </c>
    </row>
    <row r="34" spans="1:13" x14ac:dyDescent="0.25">
      <c r="A34" s="74"/>
      <c r="B34" s="3" t="s">
        <v>16</v>
      </c>
      <c r="C34" s="28">
        <v>38952</v>
      </c>
      <c r="D34" s="49"/>
      <c r="E34" s="50"/>
      <c r="F34" s="50">
        <v>9220</v>
      </c>
      <c r="G34" s="60"/>
      <c r="H34" s="31"/>
      <c r="I34" s="6"/>
      <c r="J34" s="6"/>
      <c r="K34" s="6"/>
      <c r="L34" s="5"/>
      <c r="M34" s="65">
        <f t="shared" si="8"/>
        <v>48172</v>
      </c>
    </row>
    <row r="35" spans="1:13" x14ac:dyDescent="0.25">
      <c r="A35" s="74"/>
      <c r="B35" s="3" t="s">
        <v>17</v>
      </c>
      <c r="C35" s="28"/>
      <c r="D35" s="49"/>
      <c r="E35" s="50">
        <v>93535</v>
      </c>
      <c r="F35" s="50"/>
      <c r="G35" s="60"/>
      <c r="H35" s="31"/>
      <c r="I35" s="6"/>
      <c r="J35" s="6"/>
      <c r="K35" s="6"/>
      <c r="L35" s="5"/>
      <c r="M35" s="65">
        <f t="shared" si="8"/>
        <v>93535</v>
      </c>
    </row>
    <row r="36" spans="1:13" x14ac:dyDescent="0.25">
      <c r="A36" s="74"/>
      <c r="B36" s="3" t="s">
        <v>29</v>
      </c>
      <c r="C36" s="28">
        <v>116148</v>
      </c>
      <c r="D36" s="49"/>
      <c r="E36" s="50"/>
      <c r="F36" s="50">
        <v>1159</v>
      </c>
      <c r="G36" s="60"/>
      <c r="H36" s="31"/>
      <c r="I36" s="6"/>
      <c r="J36" s="6"/>
      <c r="K36" s="6"/>
      <c r="L36" s="5"/>
      <c r="M36" s="65">
        <f t="shared" si="8"/>
        <v>117307</v>
      </c>
    </row>
    <row r="37" spans="1:13" x14ac:dyDescent="0.25">
      <c r="A37" s="74"/>
      <c r="B37" s="3" t="s">
        <v>18</v>
      </c>
      <c r="C37" s="28">
        <v>118905</v>
      </c>
      <c r="D37" s="49">
        <v>269005</v>
      </c>
      <c r="E37" s="50"/>
      <c r="F37" s="50">
        <v>336825</v>
      </c>
      <c r="G37" s="60"/>
      <c r="H37" s="31">
        <v>91276</v>
      </c>
      <c r="I37" s="6"/>
      <c r="J37" s="6">
        <v>46891</v>
      </c>
      <c r="K37" s="6"/>
      <c r="L37" s="41">
        <v>42749</v>
      </c>
      <c r="M37" s="65">
        <f t="shared" si="8"/>
        <v>905651</v>
      </c>
    </row>
    <row r="38" spans="1:13" x14ac:dyDescent="0.25">
      <c r="A38" s="74"/>
      <c r="B38" s="3" t="s">
        <v>30</v>
      </c>
      <c r="C38" s="28">
        <v>14317</v>
      </c>
      <c r="D38" s="49"/>
      <c r="E38" s="50"/>
      <c r="F38" s="50">
        <v>34371</v>
      </c>
      <c r="G38" s="60"/>
      <c r="H38" s="31"/>
      <c r="I38" s="6"/>
      <c r="J38" s="6"/>
      <c r="K38" s="6"/>
      <c r="L38" s="5"/>
      <c r="M38" s="65">
        <f t="shared" si="8"/>
        <v>48688</v>
      </c>
    </row>
    <row r="39" spans="1:13" x14ac:dyDescent="0.25">
      <c r="A39" s="74"/>
      <c r="B39" s="24" t="s">
        <v>37</v>
      </c>
      <c r="C39" s="38">
        <v>12908</v>
      </c>
      <c r="D39" s="57">
        <v>76044</v>
      </c>
      <c r="E39" s="58"/>
      <c r="F39" s="58">
        <v>6791</v>
      </c>
      <c r="G39" s="60">
        <v>31868</v>
      </c>
      <c r="H39" s="40"/>
      <c r="I39" s="10"/>
      <c r="J39" s="10"/>
      <c r="K39" s="10"/>
      <c r="L39" s="41"/>
      <c r="M39" s="65">
        <f t="shared" si="8"/>
        <v>127611</v>
      </c>
    </row>
    <row r="40" spans="1:13" x14ac:dyDescent="0.25">
      <c r="A40" s="74"/>
      <c r="B40" s="24" t="s">
        <v>38</v>
      </c>
      <c r="C40" s="38"/>
      <c r="D40" s="57"/>
      <c r="E40" s="50"/>
      <c r="F40" s="50">
        <v>3955</v>
      </c>
      <c r="G40" s="56"/>
      <c r="H40" s="40"/>
      <c r="I40" s="10"/>
      <c r="J40" s="10"/>
      <c r="K40" s="10"/>
      <c r="L40" s="41"/>
      <c r="M40" s="65">
        <f t="shared" si="8"/>
        <v>3955</v>
      </c>
    </row>
    <row r="41" spans="1:13" ht="15.75" thickBot="1" x14ac:dyDescent="0.3">
      <c r="A41" s="75"/>
      <c r="B41" s="7" t="s">
        <v>50</v>
      </c>
      <c r="C41" s="29">
        <v>8767</v>
      </c>
      <c r="D41" s="52">
        <v>56468</v>
      </c>
      <c r="E41" s="53"/>
      <c r="F41" s="53"/>
      <c r="G41" s="61">
        <v>8448</v>
      </c>
      <c r="H41" s="32"/>
      <c r="I41" s="8"/>
      <c r="J41" s="8"/>
      <c r="K41" s="8"/>
      <c r="L41" s="25"/>
      <c r="M41" s="66">
        <f t="shared" si="8"/>
        <v>73683</v>
      </c>
    </row>
    <row r="42" spans="1:13" ht="15.75" thickBot="1" x14ac:dyDescent="0.3">
      <c r="C42" s="67">
        <f>SUM(C13,C20,C27)</f>
        <v>1725179</v>
      </c>
      <c r="D42" s="67">
        <f>SUM(D13,D20,D27)</f>
        <v>2258605</v>
      </c>
      <c r="E42" s="68">
        <f>SUM(E13,E20,E27)</f>
        <v>1878686</v>
      </c>
      <c r="F42" s="68">
        <f>SUM(F13,F20,F27)</f>
        <v>2813205</v>
      </c>
      <c r="G42" s="69">
        <f>SUM(G13,G20,G27)</f>
        <v>1970593</v>
      </c>
      <c r="H42" s="67">
        <f>SUM(H13,H20,H27)</f>
        <v>743961</v>
      </c>
      <c r="I42" s="68">
        <f>SUM(I13,I20,I27)</f>
        <v>241289</v>
      </c>
      <c r="J42" s="68">
        <f>SUM(J13,J20,J27)</f>
        <v>68695</v>
      </c>
      <c r="K42" s="68">
        <f>SUM(K13,K20,K27)</f>
        <v>0</v>
      </c>
      <c r="L42" s="69">
        <f>SUM(L13,L20,L27)</f>
        <v>45186</v>
      </c>
      <c r="M42" s="69">
        <f>SUM(M13,M20,M27)</f>
        <v>11745399</v>
      </c>
    </row>
  </sheetData>
  <mergeCells count="7">
    <mergeCell ref="A27:A41"/>
    <mergeCell ref="B1:L1"/>
    <mergeCell ref="A12:C12"/>
    <mergeCell ref="A13:A18"/>
    <mergeCell ref="H3:L3"/>
    <mergeCell ref="D3:G3"/>
    <mergeCell ref="A20:A26"/>
  </mergeCells>
  <pageMargins left="0.32" right="0.17" top="1" bottom="0.75" header="0.3" footer="0.3"/>
  <pageSetup scale="78" fitToHeight="0" orientation="landscape" r:id="rId1"/>
  <ignoredErrors>
    <ignoredError sqref="M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78B6-420B-4EA4-BDEA-17DC2468D6A2}">
  <dimension ref="A1:M38"/>
  <sheetViews>
    <sheetView workbookViewId="0">
      <selection activeCell="F38" sqref="F38"/>
    </sheetView>
  </sheetViews>
  <sheetFormatPr defaultRowHeight="15" x14ac:dyDescent="0.25"/>
  <cols>
    <col min="4" max="4" width="10.28515625" customWidth="1"/>
    <col min="5" max="5" width="11" customWidth="1"/>
    <col min="6" max="6" width="10.42578125" customWidth="1"/>
    <col min="12" max="12" width="11" customWidth="1"/>
    <col min="13" max="13" width="11.28515625" customWidth="1"/>
  </cols>
  <sheetData>
    <row r="1" spans="1:13" ht="26.25" x14ac:dyDescent="0.4">
      <c r="B1" s="76" t="s">
        <v>48</v>
      </c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3" ht="15.75" thickBot="1" x14ac:dyDescent="0.3">
      <c r="A2" s="1" t="s">
        <v>0</v>
      </c>
      <c r="L2" s="70">
        <f ca="1">TODAY()</f>
        <v>45383</v>
      </c>
    </row>
    <row r="3" spans="1:13" ht="16.5" thickBot="1" x14ac:dyDescent="0.3">
      <c r="C3" s="27">
        <f>C4</f>
        <v>989114</v>
      </c>
      <c r="D3" s="81">
        <f>SUM(D4:G4)</f>
        <v>8533024</v>
      </c>
      <c r="E3" s="82"/>
      <c r="F3" s="82"/>
      <c r="G3" s="83"/>
      <c r="H3" s="78">
        <f>SUM(H4:L4)</f>
        <v>1070943</v>
      </c>
      <c r="I3" s="79"/>
      <c r="J3" s="79"/>
      <c r="K3" s="79"/>
      <c r="L3" s="80"/>
    </row>
    <row r="4" spans="1:13" ht="15.75" thickBot="1" x14ac:dyDescent="0.3">
      <c r="B4" s="1" t="s">
        <v>1</v>
      </c>
      <c r="C4" s="18">
        <f>SUM(C6:C11)</f>
        <v>989114</v>
      </c>
      <c r="D4" s="18">
        <f t="shared" ref="D4:H4" si="0">SUM(D6:D11)</f>
        <v>3031689</v>
      </c>
      <c r="E4" s="19">
        <f t="shared" si="0"/>
        <v>2181628</v>
      </c>
      <c r="F4" s="19">
        <f t="shared" si="0"/>
        <v>2419475</v>
      </c>
      <c r="G4" s="19">
        <f t="shared" si="0"/>
        <v>900232</v>
      </c>
      <c r="H4" s="18">
        <f t="shared" si="0"/>
        <v>746651</v>
      </c>
      <c r="I4" s="19">
        <f>SUM(I6:I11)</f>
        <v>145092</v>
      </c>
      <c r="J4" s="19">
        <f>SUM(J6:J11)</f>
        <v>85087</v>
      </c>
      <c r="K4" s="19">
        <f>SUM(K6:K11)</f>
        <v>3629</v>
      </c>
      <c r="L4" s="20">
        <f>SUM(L6:L11)</f>
        <v>90484</v>
      </c>
      <c r="M4" s="17">
        <f>SUM(M6:M11)</f>
        <v>10593081</v>
      </c>
    </row>
    <row r="5" spans="1:13" ht="26.25" thickBot="1" x14ac:dyDescent="0.3">
      <c r="B5" s="2" t="s">
        <v>2</v>
      </c>
      <c r="C5" s="43" t="s">
        <v>39</v>
      </c>
      <c r="D5" s="44" t="s">
        <v>40</v>
      </c>
      <c r="E5" s="45" t="s">
        <v>41</v>
      </c>
      <c r="F5" s="45" t="s">
        <v>42</v>
      </c>
      <c r="G5" s="45" t="s">
        <v>47</v>
      </c>
      <c r="H5" s="34" t="s">
        <v>43</v>
      </c>
      <c r="I5" s="35" t="s">
        <v>44</v>
      </c>
      <c r="J5" s="35" t="s">
        <v>45</v>
      </c>
      <c r="K5" s="35" t="s">
        <v>46</v>
      </c>
      <c r="L5" s="36" t="s">
        <v>3</v>
      </c>
      <c r="M5" s="62" t="s">
        <v>4</v>
      </c>
    </row>
    <row r="6" spans="1:13" x14ac:dyDescent="0.25">
      <c r="B6" s="3" t="s">
        <v>5</v>
      </c>
      <c r="C6" s="5">
        <v>148469</v>
      </c>
      <c r="D6" s="46">
        <v>1286111</v>
      </c>
      <c r="E6" s="47">
        <v>669672</v>
      </c>
      <c r="F6" s="47">
        <v>488464</v>
      </c>
      <c r="G6" s="48">
        <v>162510</v>
      </c>
      <c r="H6" s="30">
        <v>125312</v>
      </c>
      <c r="I6" s="4">
        <v>57852</v>
      </c>
      <c r="J6" s="4">
        <v>7431</v>
      </c>
      <c r="K6" s="4"/>
      <c r="L6" s="22"/>
      <c r="M6" s="63">
        <f t="shared" ref="M6:M11" si="1">SUM(C6:L6)</f>
        <v>2945821</v>
      </c>
    </row>
    <row r="7" spans="1:13" x14ac:dyDescent="0.25">
      <c r="B7" s="3" t="s">
        <v>6</v>
      </c>
      <c r="C7" s="5">
        <v>26237</v>
      </c>
      <c r="D7" s="49">
        <v>434260</v>
      </c>
      <c r="E7" s="50">
        <v>292764</v>
      </c>
      <c r="F7" s="50">
        <v>545126</v>
      </c>
      <c r="G7" s="51">
        <v>60765</v>
      </c>
      <c r="H7" s="31">
        <v>2127</v>
      </c>
      <c r="I7" s="21"/>
      <c r="J7" s="6"/>
      <c r="K7" s="6"/>
      <c r="L7" s="5"/>
      <c r="M7" s="63">
        <f t="shared" si="1"/>
        <v>1361279</v>
      </c>
    </row>
    <row r="8" spans="1:13" x14ac:dyDescent="0.25">
      <c r="B8" s="3" t="s">
        <v>7</v>
      </c>
      <c r="C8" s="5">
        <v>83196</v>
      </c>
      <c r="D8" s="49">
        <v>235962</v>
      </c>
      <c r="E8" s="50">
        <v>35720</v>
      </c>
      <c r="F8" s="50">
        <v>319928</v>
      </c>
      <c r="G8" s="51">
        <v>235121</v>
      </c>
      <c r="H8" s="31">
        <v>67963</v>
      </c>
      <c r="I8" s="6"/>
      <c r="J8" s="6">
        <v>23692</v>
      </c>
      <c r="K8" s="6"/>
      <c r="L8" s="5">
        <v>44954</v>
      </c>
      <c r="M8" s="63">
        <f t="shared" si="1"/>
        <v>1046536</v>
      </c>
    </row>
    <row r="9" spans="1:13" x14ac:dyDescent="0.25">
      <c r="B9" s="3" t="s">
        <v>8</v>
      </c>
      <c r="C9" s="5">
        <v>424298</v>
      </c>
      <c r="D9" s="49">
        <v>152564</v>
      </c>
      <c r="E9" s="50">
        <v>201976</v>
      </c>
      <c r="F9" s="50">
        <v>151240</v>
      </c>
      <c r="G9" s="51">
        <v>110693</v>
      </c>
      <c r="H9" s="31">
        <v>395100</v>
      </c>
      <c r="I9" s="6">
        <v>11328</v>
      </c>
      <c r="J9" s="6">
        <v>40773</v>
      </c>
      <c r="K9" s="6">
        <v>2020</v>
      </c>
      <c r="L9" s="5">
        <v>35906</v>
      </c>
      <c r="M9" s="63">
        <f t="shared" si="1"/>
        <v>1525898</v>
      </c>
    </row>
    <row r="10" spans="1:13" x14ac:dyDescent="0.25">
      <c r="B10" s="3" t="s">
        <v>9</v>
      </c>
      <c r="C10" s="5">
        <v>303595</v>
      </c>
      <c r="D10" s="49">
        <v>446107</v>
      </c>
      <c r="E10" s="50">
        <v>409845</v>
      </c>
      <c r="F10" s="50">
        <v>441535</v>
      </c>
      <c r="G10" s="51"/>
      <c r="H10" s="31"/>
      <c r="I10" s="6"/>
      <c r="K10" s="6"/>
      <c r="L10" s="5"/>
      <c r="M10" s="63">
        <f t="shared" si="1"/>
        <v>1601082</v>
      </c>
    </row>
    <row r="11" spans="1:13" ht="15.75" thickBot="1" x14ac:dyDescent="0.3">
      <c r="B11" s="7" t="s">
        <v>10</v>
      </c>
      <c r="C11" s="25">
        <v>3319</v>
      </c>
      <c r="D11" s="52">
        <v>476685</v>
      </c>
      <c r="E11" s="53">
        <v>571651</v>
      </c>
      <c r="F11" s="53">
        <v>473182</v>
      </c>
      <c r="G11" s="54">
        <v>331143</v>
      </c>
      <c r="H11" s="32">
        <v>156149</v>
      </c>
      <c r="I11" s="8">
        <v>75912</v>
      </c>
      <c r="J11" s="8">
        <v>13191</v>
      </c>
      <c r="K11" s="8">
        <v>1609</v>
      </c>
      <c r="L11" s="25">
        <v>9624</v>
      </c>
      <c r="M11" s="64">
        <f t="shared" si="1"/>
        <v>2112465</v>
      </c>
    </row>
    <row r="12" spans="1:13" ht="15.75" thickBot="1" x14ac:dyDescent="0.3">
      <c r="A12" s="77" t="s">
        <v>11</v>
      </c>
      <c r="B12" s="77"/>
      <c r="C12" s="77"/>
      <c r="D12" s="9"/>
      <c r="E12" s="9"/>
      <c r="F12" s="9"/>
      <c r="G12" s="9"/>
      <c r="H12" s="9"/>
      <c r="I12" s="9"/>
      <c r="J12" s="9"/>
      <c r="K12" s="9"/>
    </row>
    <row r="13" spans="1:13" ht="15.75" thickBot="1" x14ac:dyDescent="0.3">
      <c r="A13" s="73" t="s">
        <v>12</v>
      </c>
      <c r="B13" s="14" t="s">
        <v>13</v>
      </c>
      <c r="C13" s="15">
        <f t="shared" ref="C13:E13" si="2">SUM(C14:C19)</f>
        <v>335307</v>
      </c>
      <c r="D13" s="15">
        <f t="shared" si="2"/>
        <v>488788</v>
      </c>
      <c r="E13" s="15">
        <f t="shared" si="2"/>
        <v>473128</v>
      </c>
      <c r="F13" s="15">
        <f>SUM(F14:F19)</f>
        <v>674923</v>
      </c>
      <c r="G13" s="15">
        <f t="shared" ref="G13:M13" si="3">SUM(G14:G19)</f>
        <v>171598</v>
      </c>
      <c r="H13" s="15">
        <f t="shared" si="3"/>
        <v>358282</v>
      </c>
      <c r="I13" s="15">
        <f t="shared" si="3"/>
        <v>1609</v>
      </c>
      <c r="J13" s="15">
        <f t="shared" si="3"/>
        <v>35656</v>
      </c>
      <c r="K13" s="15">
        <f t="shared" si="3"/>
        <v>3629</v>
      </c>
      <c r="L13" s="15">
        <f t="shared" si="3"/>
        <v>17808</v>
      </c>
      <c r="M13" s="15">
        <f t="shared" si="3"/>
        <v>2560728</v>
      </c>
    </row>
    <row r="14" spans="1:13" x14ac:dyDescent="0.25">
      <c r="A14" s="74"/>
      <c r="B14" s="11" t="s">
        <v>21</v>
      </c>
      <c r="C14" s="28">
        <v>1249</v>
      </c>
      <c r="D14" s="46">
        <v>147722</v>
      </c>
      <c r="E14" s="47">
        <v>51446</v>
      </c>
      <c r="F14" s="47">
        <v>158209</v>
      </c>
      <c r="G14" s="55">
        <v>9204</v>
      </c>
      <c r="H14" s="30"/>
      <c r="I14" s="4"/>
      <c r="J14" s="4"/>
      <c r="K14" s="4"/>
      <c r="L14" s="22"/>
      <c r="M14" s="65">
        <f t="shared" ref="M14:M19" si="4">SUM(C14:L14)</f>
        <v>367830</v>
      </c>
    </row>
    <row r="15" spans="1:13" x14ac:dyDescent="0.25">
      <c r="A15" s="74"/>
      <c r="B15" s="11" t="s">
        <v>20</v>
      </c>
      <c r="C15" s="33">
        <v>17885</v>
      </c>
      <c r="D15" s="46">
        <v>339842</v>
      </c>
      <c r="E15" s="47">
        <v>332212</v>
      </c>
      <c r="F15" s="47">
        <v>491607</v>
      </c>
      <c r="G15" s="55">
        <v>58081</v>
      </c>
      <c r="H15" s="30">
        <v>346313</v>
      </c>
      <c r="I15" s="6"/>
      <c r="J15" s="4">
        <v>30938</v>
      </c>
      <c r="K15" s="4">
        <v>2020</v>
      </c>
      <c r="L15" s="42">
        <v>11590</v>
      </c>
      <c r="M15" s="65">
        <f t="shared" si="4"/>
        <v>1630488</v>
      </c>
    </row>
    <row r="16" spans="1:13" x14ac:dyDescent="0.25">
      <c r="A16" s="74"/>
      <c r="B16" s="12" t="s">
        <v>28</v>
      </c>
      <c r="D16" s="46">
        <v>1224</v>
      </c>
      <c r="E16" s="47">
        <v>5619</v>
      </c>
      <c r="F16" s="47">
        <v>7735</v>
      </c>
      <c r="G16" s="47">
        <v>10140</v>
      </c>
      <c r="H16" s="31"/>
      <c r="I16" s="6">
        <v>1609</v>
      </c>
      <c r="J16" s="6">
        <v>4718</v>
      </c>
      <c r="K16" s="6">
        <v>1609</v>
      </c>
      <c r="L16" s="5">
        <v>6218</v>
      </c>
      <c r="M16" s="65">
        <f t="shared" si="4"/>
        <v>38872</v>
      </c>
    </row>
    <row r="17" spans="1:13" x14ac:dyDescent="0.25">
      <c r="A17" s="74"/>
      <c r="B17" s="13" t="s">
        <v>31</v>
      </c>
      <c r="C17" s="38">
        <v>316173</v>
      </c>
      <c r="D17" s="57"/>
      <c r="E17" s="58">
        <v>83851</v>
      </c>
      <c r="F17" s="58">
        <v>5464</v>
      </c>
      <c r="G17" s="59">
        <v>94173</v>
      </c>
      <c r="H17" s="40">
        <v>11969</v>
      </c>
      <c r="I17" s="10"/>
      <c r="J17" s="10"/>
      <c r="K17" s="10"/>
      <c r="L17" s="41"/>
      <c r="M17" s="65">
        <f t="shared" si="4"/>
        <v>511630</v>
      </c>
    </row>
    <row r="18" spans="1:13" x14ac:dyDescent="0.25">
      <c r="A18" s="74"/>
      <c r="B18" s="13" t="s">
        <v>33</v>
      </c>
      <c r="C18" s="28"/>
      <c r="D18" s="49"/>
      <c r="E18" s="50"/>
      <c r="F18" s="50">
        <v>5908</v>
      </c>
      <c r="G18" s="60"/>
      <c r="H18" s="31"/>
      <c r="I18" s="6"/>
      <c r="J18" s="6"/>
      <c r="K18" s="6"/>
      <c r="L18" s="5"/>
      <c r="M18" s="65">
        <f t="shared" si="4"/>
        <v>5908</v>
      </c>
    </row>
    <row r="19" spans="1:13" ht="15.75" thickBot="1" x14ac:dyDescent="0.3">
      <c r="A19" s="71"/>
      <c r="B19" s="13" t="s">
        <v>49</v>
      </c>
      <c r="C19" s="72"/>
      <c r="D19" s="49"/>
      <c r="E19" s="50"/>
      <c r="F19" s="50">
        <v>6000</v>
      </c>
      <c r="G19" s="60"/>
      <c r="H19" s="31"/>
      <c r="I19" s="6"/>
      <c r="J19" s="6"/>
      <c r="K19" s="6"/>
      <c r="L19" s="5"/>
      <c r="M19" s="65">
        <f t="shared" si="4"/>
        <v>6000</v>
      </c>
    </row>
    <row r="20" spans="1:13" ht="15.75" thickBot="1" x14ac:dyDescent="0.3">
      <c r="A20" s="84" t="s">
        <v>14</v>
      </c>
      <c r="B20" s="14" t="s">
        <v>13</v>
      </c>
      <c r="C20" s="16">
        <f t="shared" ref="C20:M20" si="5">SUM(C21:C24)</f>
        <v>543493</v>
      </c>
      <c r="D20" s="16">
        <f t="shared" si="5"/>
        <v>2072974</v>
      </c>
      <c r="E20" s="16">
        <f t="shared" si="5"/>
        <v>1602383</v>
      </c>
      <c r="F20" s="16">
        <f t="shared" si="5"/>
        <v>1180420</v>
      </c>
      <c r="G20" s="16">
        <f t="shared" si="5"/>
        <v>493512</v>
      </c>
      <c r="H20" s="16">
        <f t="shared" si="5"/>
        <v>234078</v>
      </c>
      <c r="I20" s="16">
        <f t="shared" si="5"/>
        <v>132155</v>
      </c>
      <c r="J20" s="16">
        <f t="shared" si="5"/>
        <v>7431</v>
      </c>
      <c r="K20" s="16">
        <f t="shared" si="5"/>
        <v>0</v>
      </c>
      <c r="L20" s="16">
        <f t="shared" si="5"/>
        <v>0</v>
      </c>
      <c r="M20" s="16">
        <f t="shared" si="5"/>
        <v>6266446</v>
      </c>
    </row>
    <row r="21" spans="1:13" x14ac:dyDescent="0.25">
      <c r="A21" s="85"/>
      <c r="B21" s="12" t="s">
        <v>22</v>
      </c>
      <c r="C21" s="28">
        <v>13083</v>
      </c>
      <c r="D21" s="49">
        <v>1217205</v>
      </c>
      <c r="E21" s="50">
        <v>1067756</v>
      </c>
      <c r="F21" s="50">
        <v>713774</v>
      </c>
      <c r="G21" s="60">
        <v>482967</v>
      </c>
      <c r="H21" s="31">
        <v>234078</v>
      </c>
      <c r="I21" s="6">
        <v>132155</v>
      </c>
      <c r="J21" s="6">
        <v>7431</v>
      </c>
      <c r="K21" s="6"/>
      <c r="L21" s="5"/>
      <c r="M21" s="65">
        <f>SUM(C21:L21)</f>
        <v>3868449</v>
      </c>
    </row>
    <row r="22" spans="1:13" x14ac:dyDescent="0.25">
      <c r="A22" s="85"/>
      <c r="B22" s="12" t="s">
        <v>26</v>
      </c>
      <c r="C22" s="28">
        <v>427442</v>
      </c>
      <c r="D22" s="49">
        <v>854369</v>
      </c>
      <c r="E22" s="50">
        <v>482022</v>
      </c>
      <c r="F22" s="50">
        <v>460660</v>
      </c>
      <c r="G22" s="60">
        <v>545</v>
      </c>
      <c r="H22" s="31"/>
      <c r="I22" s="6"/>
      <c r="J22" s="6"/>
      <c r="K22" s="6"/>
      <c r="L22" s="5"/>
      <c r="M22" s="65">
        <f>SUM(C22:L22)</f>
        <v>2225038</v>
      </c>
    </row>
    <row r="23" spans="1:13" x14ac:dyDescent="0.25">
      <c r="A23" s="85"/>
      <c r="B23" s="12" t="s">
        <v>32</v>
      </c>
      <c r="C23" s="28">
        <v>11539</v>
      </c>
      <c r="D23" s="49">
        <v>1400</v>
      </c>
      <c r="E23" s="50">
        <v>52605</v>
      </c>
      <c r="F23" s="50">
        <v>5986</v>
      </c>
      <c r="G23" s="60"/>
      <c r="H23" s="31"/>
      <c r="I23" s="21"/>
      <c r="J23" s="21"/>
      <c r="K23" s="6"/>
      <c r="L23" s="42"/>
      <c r="M23" s="65">
        <f>SUM(C23:L23)</f>
        <v>71530</v>
      </c>
    </row>
    <row r="24" spans="1:13" ht="15.75" thickBot="1" x14ac:dyDescent="0.3">
      <c r="A24" s="86"/>
      <c r="B24" s="7" t="s">
        <v>51</v>
      </c>
      <c r="C24" s="38">
        <v>91429</v>
      </c>
      <c r="D24" s="57"/>
      <c r="E24" s="58"/>
      <c r="F24" s="58"/>
      <c r="G24" s="59">
        <v>10000</v>
      </c>
      <c r="H24" s="40"/>
      <c r="I24" s="10"/>
      <c r="J24" s="10"/>
      <c r="K24" s="10"/>
      <c r="L24" s="41"/>
      <c r="M24" s="65">
        <f>SUM(C24:L24)</f>
        <v>101429</v>
      </c>
    </row>
    <row r="25" spans="1:13" ht="15.75" thickBot="1" x14ac:dyDescent="0.3">
      <c r="A25" s="73" t="s">
        <v>15</v>
      </c>
      <c r="B25" s="23" t="s">
        <v>13</v>
      </c>
      <c r="C25" s="37">
        <f t="shared" ref="C25:M25" si="6">SUM(C26:C37)</f>
        <v>110313</v>
      </c>
      <c r="D25" s="39">
        <f t="shared" si="6"/>
        <v>469927</v>
      </c>
      <c r="E25" s="15">
        <f t="shared" si="6"/>
        <v>106117</v>
      </c>
      <c r="F25" s="15">
        <f t="shared" si="6"/>
        <v>564133</v>
      </c>
      <c r="G25" s="16">
        <f t="shared" si="6"/>
        <v>235120</v>
      </c>
      <c r="H25" s="39">
        <f t="shared" si="6"/>
        <v>154293</v>
      </c>
      <c r="I25" s="15">
        <f t="shared" si="6"/>
        <v>11328</v>
      </c>
      <c r="J25" s="15">
        <f t="shared" si="6"/>
        <v>42000</v>
      </c>
      <c r="K25" s="15">
        <f t="shared" si="6"/>
        <v>0</v>
      </c>
      <c r="L25" s="16">
        <f t="shared" si="6"/>
        <v>72677</v>
      </c>
      <c r="M25" s="20">
        <f t="shared" si="6"/>
        <v>1765908</v>
      </c>
    </row>
    <row r="26" spans="1:13" x14ac:dyDescent="0.25">
      <c r="A26" s="74"/>
      <c r="B26" s="3" t="s">
        <v>34</v>
      </c>
      <c r="C26" s="28"/>
      <c r="D26" s="49">
        <v>28473</v>
      </c>
      <c r="E26" s="50"/>
      <c r="F26" s="50">
        <v>10031</v>
      </c>
      <c r="G26" s="60"/>
      <c r="H26" s="31"/>
      <c r="I26" s="6"/>
      <c r="J26" s="6"/>
      <c r="K26" s="6"/>
      <c r="L26" s="5"/>
      <c r="M26" s="65">
        <f t="shared" ref="M26:M37" si="7">SUM(C26:L26)</f>
        <v>38504</v>
      </c>
    </row>
    <row r="27" spans="1:13" x14ac:dyDescent="0.25">
      <c r="A27" s="74"/>
      <c r="B27" s="3" t="s">
        <v>24</v>
      </c>
      <c r="C27" s="28"/>
      <c r="D27" s="49"/>
      <c r="E27" s="50"/>
      <c r="F27" s="50">
        <v>27420</v>
      </c>
      <c r="G27" s="60"/>
      <c r="H27" s="31"/>
      <c r="I27" s="6"/>
      <c r="J27" s="6"/>
      <c r="K27" s="6"/>
      <c r="L27" s="5"/>
      <c r="M27" s="65">
        <f t="shared" si="7"/>
        <v>27420</v>
      </c>
    </row>
    <row r="28" spans="1:13" x14ac:dyDescent="0.25">
      <c r="A28" s="74"/>
      <c r="B28" s="3" t="s">
        <v>25</v>
      </c>
      <c r="C28" s="28">
        <v>16232</v>
      </c>
      <c r="D28" s="49">
        <v>22882</v>
      </c>
      <c r="E28" s="50">
        <v>17389</v>
      </c>
      <c r="F28" s="50">
        <v>109608</v>
      </c>
      <c r="G28" s="60">
        <v>155063</v>
      </c>
      <c r="H28" s="31">
        <v>727</v>
      </c>
      <c r="I28" s="6"/>
      <c r="J28" s="6"/>
      <c r="K28" s="6"/>
      <c r="L28" s="5"/>
      <c r="M28" s="65">
        <f t="shared" si="7"/>
        <v>321901</v>
      </c>
    </row>
    <row r="29" spans="1:13" x14ac:dyDescent="0.25">
      <c r="A29" s="74"/>
      <c r="B29" s="3" t="s">
        <v>27</v>
      </c>
      <c r="C29" s="28">
        <v>6428</v>
      </c>
      <c r="D29" s="49"/>
      <c r="E29" s="50">
        <v>18331</v>
      </c>
      <c r="F29" s="50">
        <v>10309</v>
      </c>
      <c r="G29" s="60">
        <v>51733</v>
      </c>
      <c r="H29" s="31">
        <v>16549</v>
      </c>
      <c r="I29" s="6"/>
      <c r="J29" s="6"/>
      <c r="K29" s="6"/>
      <c r="L29" s="5"/>
      <c r="M29" s="65">
        <f t="shared" si="7"/>
        <v>103350</v>
      </c>
    </row>
    <row r="30" spans="1:13" x14ac:dyDescent="0.25">
      <c r="A30" s="74"/>
      <c r="B30" s="3" t="s">
        <v>16</v>
      </c>
      <c r="C30" s="28">
        <v>7102</v>
      </c>
      <c r="D30" s="49"/>
      <c r="E30" s="50"/>
      <c r="F30" s="50">
        <v>9220</v>
      </c>
      <c r="G30" s="60"/>
      <c r="H30" s="31"/>
      <c r="I30" s="6"/>
      <c r="J30" s="6"/>
      <c r="K30" s="6"/>
      <c r="L30" s="5"/>
      <c r="M30" s="65">
        <f t="shared" si="7"/>
        <v>16322</v>
      </c>
    </row>
    <row r="31" spans="1:13" x14ac:dyDescent="0.25">
      <c r="A31" s="74"/>
      <c r="B31" s="3" t="s">
        <v>17</v>
      </c>
      <c r="C31" s="28"/>
      <c r="D31" s="49"/>
      <c r="E31" s="50">
        <v>70397</v>
      </c>
      <c r="F31" s="50"/>
      <c r="G31" s="60"/>
      <c r="H31" s="31"/>
      <c r="I31" s="6">
        <v>11328</v>
      </c>
      <c r="J31" s="6"/>
      <c r="K31" s="6"/>
      <c r="L31" s="5"/>
      <c r="M31" s="65">
        <f t="shared" si="7"/>
        <v>81725</v>
      </c>
    </row>
    <row r="32" spans="1:13" x14ac:dyDescent="0.25">
      <c r="A32" s="74"/>
      <c r="B32" s="3" t="s">
        <v>29</v>
      </c>
      <c r="C32" s="28"/>
      <c r="D32" s="49"/>
      <c r="E32" s="50"/>
      <c r="F32" s="50">
        <v>1159</v>
      </c>
      <c r="G32" s="60"/>
      <c r="H32" s="31"/>
      <c r="I32" s="6"/>
      <c r="J32" s="6"/>
      <c r="K32" s="6"/>
      <c r="L32" s="5"/>
      <c r="M32" s="65">
        <f t="shared" si="7"/>
        <v>1159</v>
      </c>
    </row>
    <row r="33" spans="1:13" x14ac:dyDescent="0.25">
      <c r="A33" s="74"/>
      <c r="B33" s="3" t="s">
        <v>18</v>
      </c>
      <c r="C33" s="28">
        <v>77634</v>
      </c>
      <c r="D33" s="49">
        <v>288268</v>
      </c>
      <c r="E33" s="50"/>
      <c r="F33" s="50">
        <v>357961</v>
      </c>
      <c r="G33" s="60"/>
      <c r="H33" s="31">
        <v>136574</v>
      </c>
      <c r="I33" s="6"/>
      <c r="J33" s="6">
        <v>39500</v>
      </c>
      <c r="K33" s="6"/>
      <c r="L33" s="41">
        <v>72677</v>
      </c>
      <c r="M33" s="65">
        <f t="shared" si="7"/>
        <v>972614</v>
      </c>
    </row>
    <row r="34" spans="1:13" x14ac:dyDescent="0.25">
      <c r="A34" s="74"/>
      <c r="B34" s="3" t="s">
        <v>30</v>
      </c>
      <c r="C34" s="28"/>
      <c r="D34" s="49"/>
      <c r="E34" s="50"/>
      <c r="F34" s="50">
        <v>29386</v>
      </c>
      <c r="G34" s="60"/>
      <c r="H34" s="31"/>
      <c r="I34" s="6"/>
      <c r="J34" s="6"/>
      <c r="K34" s="6"/>
      <c r="L34" s="5"/>
      <c r="M34" s="65">
        <f t="shared" si="7"/>
        <v>29386</v>
      </c>
    </row>
    <row r="35" spans="1:13" x14ac:dyDescent="0.25">
      <c r="A35" s="74"/>
      <c r="B35" s="24" t="s">
        <v>37</v>
      </c>
      <c r="C35" s="38">
        <v>1824</v>
      </c>
      <c r="D35" s="57">
        <v>79767</v>
      </c>
      <c r="E35" s="58"/>
      <c r="F35" s="58">
        <v>6791</v>
      </c>
      <c r="G35" s="60">
        <v>28324</v>
      </c>
      <c r="H35" s="40"/>
      <c r="I35" s="10"/>
      <c r="J35" s="10"/>
      <c r="K35" s="10"/>
      <c r="L35" s="41"/>
      <c r="M35" s="65">
        <f t="shared" si="7"/>
        <v>116706</v>
      </c>
    </row>
    <row r="36" spans="1:13" x14ac:dyDescent="0.25">
      <c r="A36" s="74"/>
      <c r="B36" s="24" t="s">
        <v>38</v>
      </c>
      <c r="C36" s="38"/>
      <c r="D36" s="57"/>
      <c r="E36" s="50"/>
      <c r="F36" s="50">
        <v>2248</v>
      </c>
      <c r="G36" s="56"/>
      <c r="H36" s="40">
        <v>443</v>
      </c>
      <c r="I36" s="10"/>
      <c r="J36" s="10">
        <v>2500</v>
      </c>
      <c r="K36" s="10"/>
      <c r="L36" s="41"/>
      <c r="M36" s="65">
        <f t="shared" si="7"/>
        <v>5191</v>
      </c>
    </row>
    <row r="37" spans="1:13" ht="15.75" thickBot="1" x14ac:dyDescent="0.3">
      <c r="A37" s="75"/>
      <c r="B37" s="7" t="s">
        <v>50</v>
      </c>
      <c r="C37" s="29">
        <v>1093</v>
      </c>
      <c r="D37" s="52">
        <v>50537</v>
      </c>
      <c r="E37" s="53"/>
      <c r="F37" s="53"/>
      <c r="G37" s="61"/>
      <c r="H37" s="32"/>
      <c r="I37" s="8"/>
      <c r="J37" s="8"/>
      <c r="K37" s="8"/>
      <c r="L37" s="25"/>
      <c r="M37" s="66">
        <f t="shared" si="7"/>
        <v>51630</v>
      </c>
    </row>
    <row r="38" spans="1:13" ht="15.75" thickBot="1" x14ac:dyDescent="0.3">
      <c r="C38" s="67">
        <f t="shared" ref="C38:M38" si="8">SUM(C13,C20,C25)</f>
        <v>989113</v>
      </c>
      <c r="D38" s="67">
        <f t="shared" si="8"/>
        <v>3031689</v>
      </c>
      <c r="E38" s="68">
        <f t="shared" si="8"/>
        <v>2181628</v>
      </c>
      <c r="F38" s="68">
        <f t="shared" si="8"/>
        <v>2419476</v>
      </c>
      <c r="G38" s="69">
        <f t="shared" si="8"/>
        <v>900230</v>
      </c>
      <c r="H38" s="67">
        <f t="shared" si="8"/>
        <v>746653</v>
      </c>
      <c r="I38" s="68">
        <f t="shared" si="8"/>
        <v>145092</v>
      </c>
      <c r="J38" s="68">
        <f t="shared" si="8"/>
        <v>85087</v>
      </c>
      <c r="K38" s="68">
        <f t="shared" si="8"/>
        <v>3629</v>
      </c>
      <c r="L38" s="69">
        <f t="shared" si="8"/>
        <v>90485</v>
      </c>
      <c r="M38" s="69">
        <f t="shared" si="8"/>
        <v>10593082</v>
      </c>
    </row>
  </sheetData>
  <mergeCells count="7">
    <mergeCell ref="A25:A37"/>
    <mergeCell ref="B1:L1"/>
    <mergeCell ref="D3:G3"/>
    <mergeCell ref="H3:L3"/>
    <mergeCell ref="A12:C12"/>
    <mergeCell ref="A13:A18"/>
    <mergeCell ref="A20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</vt:lpstr>
      <vt:lpstr>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Azim</cp:lastModifiedBy>
  <cp:lastPrinted>2024-01-03T06:20:42Z</cp:lastPrinted>
  <dcterms:created xsi:type="dcterms:W3CDTF">2015-06-05T18:17:20Z</dcterms:created>
  <dcterms:modified xsi:type="dcterms:W3CDTF">2024-04-01T06:15:29Z</dcterms:modified>
</cp:coreProperties>
</file>