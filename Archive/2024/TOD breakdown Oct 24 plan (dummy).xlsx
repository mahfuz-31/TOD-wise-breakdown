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5F04A0A7-E575-49A9-BC19-3FE387EF667B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Sheet1!$B$3:$M$40</definedName>
    <definedName name="_xlnm.Print_Area" localSheetId="0">Sheet1!$A$1:$M$40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E26" i="3"/>
  <c r="F26" i="3"/>
  <c r="G26" i="3"/>
  <c r="H26" i="3"/>
  <c r="I26" i="3"/>
  <c r="J26" i="3"/>
  <c r="K26" i="3"/>
  <c r="L26" i="3"/>
  <c r="C26" i="3"/>
  <c r="D20" i="3"/>
  <c r="E20" i="3"/>
  <c r="F20" i="3"/>
  <c r="G20" i="3"/>
  <c r="H20" i="3"/>
  <c r="I20" i="3"/>
  <c r="J20" i="3"/>
  <c r="K20" i="3"/>
  <c r="L20" i="3"/>
  <c r="C20" i="3"/>
  <c r="M15" i="3"/>
  <c r="M19" i="3"/>
  <c r="M24" i="3"/>
  <c r="M36" i="3"/>
  <c r="M23" i="3"/>
  <c r="M29" i="3"/>
  <c r="M32" i="3"/>
  <c r="M16" i="3"/>
  <c r="M8" i="3"/>
  <c r="M11" i="3"/>
  <c r="M7" i="3"/>
  <c r="L2" i="3"/>
  <c r="K13" i="3" l="1"/>
  <c r="M33" i="3"/>
  <c r="M28" i="3"/>
  <c r="L13" i="3"/>
  <c r="L40" i="3" s="1"/>
  <c r="J13" i="3"/>
  <c r="J40" i="3" s="1"/>
  <c r="I13" i="3"/>
  <c r="I40" i="3" s="1"/>
  <c r="H13" i="3"/>
  <c r="H40" i="3" s="1"/>
  <c r="M30" i="3"/>
  <c r="M37" i="3"/>
  <c r="M17" i="3"/>
  <c r="M38" i="3"/>
  <c r="M34" i="3"/>
  <c r="M22" i="3"/>
  <c r="L4" i="3"/>
  <c r="K4" i="3"/>
  <c r="J4" i="3"/>
  <c r="I4" i="3"/>
  <c r="H4" i="3"/>
  <c r="M9" i="3"/>
  <c r="G4" i="3"/>
  <c r="F4" i="3"/>
  <c r="E4" i="3"/>
  <c r="M10" i="3"/>
  <c r="D4" i="3"/>
  <c r="M6" i="3"/>
  <c r="C4" i="3"/>
  <c r="C3" i="3" s="1"/>
  <c r="C13" i="3"/>
  <c r="D13" i="3"/>
  <c r="M35" i="3"/>
  <c r="M31" i="3"/>
  <c r="M39" i="3"/>
  <c r="M25" i="3"/>
  <c r="E13" i="3"/>
  <c r="E40" i="3" s="1"/>
  <c r="M27" i="3"/>
  <c r="M21" i="3"/>
  <c r="F13" i="3"/>
  <c r="M18" i="3"/>
  <c r="M14" i="3"/>
  <c r="G13" i="3"/>
  <c r="K40" i="3"/>
  <c r="M20" i="3" l="1"/>
  <c r="H3" i="3"/>
  <c r="D3" i="3"/>
  <c r="M3" i="3"/>
  <c r="C40" i="3"/>
  <c r="D40" i="3"/>
  <c r="M26" i="3"/>
  <c r="M13" i="3"/>
  <c r="F40" i="3"/>
  <c r="G40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<sst xmlns="http://schemas.openxmlformats.org/spreadsheetml/2006/main" count="52" uniqueCount="50">
  <si>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</si>
  <si>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</si>
  <si>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</si>
  <si>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</si>
  <si>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</si>
  <si>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</si>
  <si>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</si>
  <si>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</si>
  <si>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</si>
  <si>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</si>
  <si>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</si>
  <si>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</si>
  <si>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</si>
  <si>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</si>
  <si>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</si>
  <si>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</si>
  <si>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</si>
  <si>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</si>
  <si>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</si>
  <si>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</si>
  <si>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</si>
  <si>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</si>
  <si>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</si>
  <si>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</si>
  <si>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</si>
  <si>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</si>
  <si>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</si>
  <si>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</si>
  <si>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</si>
  <si>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</si>
  <si>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</si>
  <si>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</si>
  <si>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</si>
  <si>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</si>
  <si>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</si>
  <si>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</si>
  <si>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</si>
  <si>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</si>
  <si>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ESPRIT MACAO COMMERCIAL OFFSHORE LTD.</t>
  </si>
  <si>
    <t>JKL2</t>
  </si>
  <si>
    <t>1-7'/Oct</t>
  </si>
  <si>
    <t>8-15'/Oct</t>
  </si>
  <si>
    <t>16-23'/Oct</t>
  </si>
  <si>
    <t>01-05'/Nov</t>
  </si>
  <si>
    <t>6-10'/Nov</t>
  </si>
  <si>
    <t>11-20'/Nov</t>
  </si>
  <si>
    <t>Oct-24 Sewing Plan analysis</t>
  </si>
  <si>
    <t>Before Oct</t>
  </si>
  <si>
    <t>21-30'/Nov</t>
  </si>
  <si>
    <t>24-31'/Oct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</si>
</sst>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65" fontId="3" fillId="0" borderId="0" xfId="0" applyNumberFormat="1" applyFont="1"/>
    <xf numFmtId="3" fontId="4" fillId="3" borderId="2" xfId="0" applyNumberFormat="1" applyFont="1" applyFill="1" applyBorder="1"/>
    <xf numFmtId="3" fontId="3" fillId="2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1" fillId="0" borderId="2" xfId="0" applyFont="1" applyBorder="1"/>
    <xf numFmtId="164" fontId="3" fillId="2" borderId="2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A19" zoomScaleNormal="100" workbookViewId="0">
      <selection activeCell="L31" sqref="L31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7" width="12.140625" style="1" customWidth="1"/>
    <col min="8" max="8" width="13.28515625" style="1" customWidth="1"/>
    <col min="9" max="9" width="11.42578125" style="1" customWidth="1"/>
    <col min="10" max="10" width="11" style="1" customWidth="1"/>
    <col min="11" max="11" width="13" style="1" customWidth="1"/>
    <col min="12" max="12" width="13.28515625" style="1" customWidth="1"/>
    <col min="13" max="13" width="16.42578125" style="1" customWidth="1"/>
    <col min="14" max="16384" width="9.140625" style="1"/>
  </cols>
  <sheetData>
    <row r="1" spans="1:13" ht="20.25" x14ac:dyDescent="0.3">
      <c r="B1" s="24" t="s">
        <v>46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x14ac:dyDescent="0.25">
      <c r="A2" s="2" t="s">
        <v>0</v>
      </c>
      <c r="L2" s="3">
        <f ca="1">TODAY()</f>
        <v>45552</v>
      </c>
    </row>
    <row r="3" spans="1:13" ht="15.75" x14ac:dyDescent="0.25">
      <c r="B3" s="19" t="s">
        <v>1</v>
      </c>
      <c r="C3" s="4">
        <f>C4</f>
        <v>556874</v>
      </c>
      <c r="D3" s="25">
        <f>SUM(D4:G4)</f>
        <v>9032602</v>
      </c>
      <c r="E3" s="25"/>
      <c r="F3" s="25"/>
      <c r="G3" s="25"/>
      <c r="H3" s="25">
        <f>SUM(H4:L4)</f>
        <v>738755</v>
      </c>
      <c r="I3" s="25"/>
      <c r="J3" s="25"/>
      <c r="K3" s="25"/>
      <c r="L3" s="25"/>
      <c r="M3" s="20">
        <f>SUM(M6:M11)</f>
        <v>10328231</v>
      </c>
    </row>
    <row r="4" spans="1:13" x14ac:dyDescent="0.25">
      <c r="B4" s="19"/>
      <c r="C4" s="5">
        <f>SUM(C6:C11)</f>
        <v>556874</v>
      </c>
      <c r="D4" s="5">
        <f t="shared" ref="D4:H4" si="0">SUM(D6:D11)</f>
        <v>2696196</v>
      </c>
      <c r="E4" s="5">
        <f t="shared" si="0"/>
        <v>2368445</v>
      </c>
      <c r="F4" s="5">
        <f t="shared" si="0"/>
        <v>2433689</v>
      </c>
      <c r="G4" s="5">
        <f t="shared" si="0"/>
        <v>1534272</v>
      </c>
      <c r="H4" s="5">
        <f t="shared" si="0"/>
        <v>435101</v>
      </c>
      <c r="I4" s="5">
        <f>SUM(I6:I11)</f>
        <v>39332</v>
      </c>
      <c r="J4" s="5">
        <f>SUM(J6:J11)</f>
        <v>152281</v>
      </c>
      <c r="K4" s="5">
        <f>SUM(K6:K11)</f>
        <v>13110</v>
      </c>
      <c r="L4" s="5">
        <f>SUM(L6:L11)</f>
        <v>98931</v>
      </c>
      <c r="M4" s="20"/>
    </row>
    <row r="5" spans="1:13" ht="15.75" customHeight="1" x14ac:dyDescent="0.25">
      <c r="B5" s="6" t="s">
        <v>2</v>
      </c>
      <c r="C5" s="7" t="s">
        <v>47</v>
      </c>
      <c r="D5" s="8" t="s">
        <v>40</v>
      </c>
      <c r="E5" s="8" t="s">
        <v>41</v>
      </c>
      <c r="F5" s="8" t="s">
        <v>42</v>
      </c>
      <c r="G5" s="8" t="s">
        <v>49</v>
      </c>
      <c r="H5" s="6" t="s">
        <v>43</v>
      </c>
      <c r="I5" s="6" t="s">
        <v>44</v>
      </c>
      <c r="J5" s="6" t="s">
        <v>45</v>
      </c>
      <c r="K5" s="6" t="s">
        <v>48</v>
      </c>
      <c r="L5" s="6" t="s">
        <v>3</v>
      </c>
      <c r="M5" s="6" t="s">
        <v>4</v>
      </c>
    </row>
    <row r="6" spans="1:13" x14ac:dyDescent="0.25">
      <c r="B6" s="16" t="s">
        <v>5</v>
      </c>
      <c r="C6" s="9">
        <v>31219</v>
      </c>
      <c r="D6" s="10">
        <v>505853</v>
      </c>
      <c r="E6" s="10">
        <v>433990</v>
      </c>
      <c r="F6" s="10">
        <v>428918</v>
      </c>
      <c r="G6" s="10">
        <v>308667</v>
      </c>
      <c r="H6" s="9">
        <v>40336</v>
      </c>
      <c r="I6" s="9">
        <v>8332</v>
      </c>
      <c r="J6" s="9">
        <v>9783</v>
      </c>
      <c r="K6" s="9"/>
      <c r="L6" s="9">
        <v>4298</v>
      </c>
      <c r="M6" s="10">
        <f t="shared" ref="M6:M11" si="1">SUM(C6:L6)</f>
        <v>1771396</v>
      </c>
    </row>
    <row r="7" spans="1:13" x14ac:dyDescent="0.25">
      <c r="B7" s="12" t="s">
        <v>6</v>
      </c>
      <c r="C7" s="11">
        <v>39849</v>
      </c>
      <c r="D7" s="11">
        <v>696643</v>
      </c>
      <c r="E7" s="11">
        <v>573635</v>
      </c>
      <c r="F7" s="11">
        <v>129305</v>
      </c>
      <c r="G7" s="11">
        <v>345611</v>
      </c>
      <c r="H7" s="11">
        <v>26127</v>
      </c>
      <c r="I7" s="12"/>
      <c r="J7" s="11"/>
      <c r="K7" s="11"/>
      <c r="L7" s="11"/>
      <c r="M7" s="11">
        <f t="shared" si="1"/>
        <v>1811170</v>
      </c>
    </row>
    <row r="8" spans="1:13" x14ac:dyDescent="0.25">
      <c r="B8" s="16" t="s">
        <v>7</v>
      </c>
      <c r="C8" s="9">
        <v>226921</v>
      </c>
      <c r="D8" s="10">
        <v>479801</v>
      </c>
      <c r="E8" s="10">
        <v>394930</v>
      </c>
      <c r="F8" s="10">
        <v>280326</v>
      </c>
      <c r="G8" s="10">
        <v>27522</v>
      </c>
      <c r="H8" s="9">
        <v>39682</v>
      </c>
      <c r="I8" s="9">
        <v>15512</v>
      </c>
      <c r="J8" s="9">
        <v>14440</v>
      </c>
      <c r="K8" s="9">
        <v>739</v>
      </c>
      <c r="L8" s="9">
        <v>16139</v>
      </c>
      <c r="M8" s="10">
        <f t="shared" si="1"/>
        <v>1496012</v>
      </c>
    </row>
    <row r="9" spans="1:13" x14ac:dyDescent="0.25">
      <c r="B9" s="12" t="s">
        <v>8</v>
      </c>
      <c r="C9" s="11">
        <v>25302</v>
      </c>
      <c r="D9" s="11">
        <v>306129</v>
      </c>
      <c r="E9" s="11">
        <v>161341</v>
      </c>
      <c r="F9" s="11">
        <v>900183</v>
      </c>
      <c r="G9" s="11">
        <v>22182</v>
      </c>
      <c r="H9" s="11">
        <v>78644</v>
      </c>
      <c r="I9" s="12">
        <v>3111</v>
      </c>
      <c r="J9" s="11">
        <v>102248</v>
      </c>
      <c r="K9" s="11">
        <v>7919</v>
      </c>
      <c r="L9" s="11">
        <v>48887</v>
      </c>
      <c r="M9" s="11">
        <f t="shared" si="1"/>
        <v>1655946</v>
      </c>
    </row>
    <row r="10" spans="1:13" x14ac:dyDescent="0.25">
      <c r="B10" s="16" t="s">
        <v>9</v>
      </c>
      <c r="C10" s="9">
        <v>60434</v>
      </c>
      <c r="D10" s="10">
        <v>234689</v>
      </c>
      <c r="E10" s="10">
        <v>420047</v>
      </c>
      <c r="F10" s="10">
        <v>100515</v>
      </c>
      <c r="G10" s="10">
        <v>63868</v>
      </c>
      <c r="H10" s="9">
        <v>3702</v>
      </c>
      <c r="I10" s="9"/>
      <c r="J10" s="9">
        <v>353</v>
      </c>
      <c r="K10" s="9"/>
      <c r="L10" s="9"/>
      <c r="M10" s="10">
        <f t="shared" si="1"/>
        <v>883608</v>
      </c>
    </row>
    <row r="11" spans="1:13" x14ac:dyDescent="0.25">
      <c r="B11" s="12" t="s">
        <v>39</v>
      </c>
      <c r="C11" s="11">
        <v>173149</v>
      </c>
      <c r="D11" s="11">
        <v>473081</v>
      </c>
      <c r="E11" s="11">
        <v>384502</v>
      </c>
      <c r="F11" s="11">
        <v>594442</v>
      </c>
      <c r="G11" s="11">
        <v>766422</v>
      </c>
      <c r="H11" s="11">
        <v>246610</v>
      </c>
      <c r="I11" s="12">
        <v>12377</v>
      </c>
      <c r="J11" s="11">
        <v>25457</v>
      </c>
      <c r="K11" s="11">
        <v>4452</v>
      </c>
      <c r="L11" s="11">
        <v>29607</v>
      </c>
      <c r="M11" s="11">
        <f t="shared" si="1"/>
        <v>2710099</v>
      </c>
    </row>
    <row r="12" spans="1:13" x14ac:dyDescent="0.25">
      <c r="A12" s="26" t="s">
        <v>10</v>
      </c>
      <c r="B12" s="26"/>
      <c r="C12" s="26"/>
      <c r="D12" s="13"/>
      <c r="E12" s="13"/>
      <c r="F12" s="13"/>
      <c r="G12" s="13"/>
      <c r="H12" s="13"/>
      <c r="I12" s="13"/>
      <c r="J12" s="13"/>
      <c r="K12" s="13"/>
    </row>
    <row r="13" spans="1:13" x14ac:dyDescent="0.25">
      <c r="A13" s="21" t="s">
        <v>11</v>
      </c>
      <c r="B13" s="14" t="s">
        <v>12</v>
      </c>
      <c r="C13" s="5">
        <f t="shared" ref="C13:M13" si="2">SUM(C14:C19)</f>
        <v>42865</v>
      </c>
      <c r="D13" s="5">
        <f t="shared" si="2"/>
        <v>860905</v>
      </c>
      <c r="E13" s="5">
        <f t="shared" si="2"/>
        <v>912187</v>
      </c>
      <c r="F13" s="5">
        <f t="shared" si="2"/>
        <v>916412</v>
      </c>
      <c r="G13" s="5">
        <f t="shared" si="2"/>
        <v>451418</v>
      </c>
      <c r="H13" s="5">
        <f t="shared" si="2"/>
        <v>126065</v>
      </c>
      <c r="I13" s="5">
        <f t="shared" si="2"/>
        <v>10095</v>
      </c>
      <c r="J13" s="5">
        <f t="shared" si="2"/>
        <v>58328</v>
      </c>
      <c r="K13" s="5">
        <f t="shared" si="2"/>
        <v>12371</v>
      </c>
      <c r="L13" s="15">
        <f t="shared" si="2"/>
        <v>23324</v>
      </c>
      <c r="M13" s="5">
        <f t="shared" si="2"/>
        <v>3413970</v>
      </c>
    </row>
    <row r="14" spans="1:13" x14ac:dyDescent="0.25">
      <c r="A14" s="22"/>
      <c r="B14" s="16" t="s">
        <v>19</v>
      </c>
      <c r="C14" s="9">
        <v>20966</v>
      </c>
      <c r="D14" s="10">
        <v>721711</v>
      </c>
      <c r="E14" s="10">
        <v>539108</v>
      </c>
      <c r="F14" s="10">
        <v>148311</v>
      </c>
      <c r="G14" s="10">
        <v>372107</v>
      </c>
      <c r="H14" s="9">
        <v>41437</v>
      </c>
      <c r="I14" s="9">
        <v>0</v>
      </c>
      <c r="J14" s="9">
        <v>17382</v>
      </c>
      <c r="K14" s="9">
        <v>11692</v>
      </c>
      <c r="L14" s="9">
        <v>8904</v>
      </c>
      <c r="M14" s="10">
        <f>SUM(C14:L14)</f>
        <v>1881618</v>
      </c>
    </row>
    <row r="15" spans="1:13" x14ac:dyDescent="0.25">
      <c r="A15" s="22"/>
      <c r="B15" s="12" t="s">
        <v>20</v>
      </c>
      <c r="C15" s="11">
        <v>18883</v>
      </c>
      <c r="D15" s="11">
        <v>35893</v>
      </c>
      <c r="E15" s="11">
        <v>218977</v>
      </c>
      <c r="F15" s="11">
        <v>26308</v>
      </c>
      <c r="G15" s="11">
        <v>34782</v>
      </c>
      <c r="H15" s="11">
        <v>37906</v>
      </c>
      <c r="I15" s="11">
        <v>6984</v>
      </c>
      <c r="J15" s="11">
        <v>0</v>
      </c>
      <c r="K15" s="11">
        <v>0</v>
      </c>
      <c r="L15" s="11">
        <v>0</v>
      </c>
      <c r="M15" s="11">
        <f>SUM(C15:L15)</f>
        <v>379733</v>
      </c>
    </row>
    <row r="16" spans="1:13" x14ac:dyDescent="0.25">
      <c r="A16" s="22"/>
      <c r="B16" s="16" t="s">
        <v>26</v>
      </c>
      <c r="C16" s="9">
        <v>138</v>
      </c>
      <c r="D16" s="10">
        <v>8022</v>
      </c>
      <c r="E16" s="10">
        <v>13528</v>
      </c>
      <c r="F16" s="10">
        <v>40329</v>
      </c>
      <c r="G16" s="10">
        <v>39933</v>
      </c>
      <c r="H16" s="9">
        <v>16315</v>
      </c>
      <c r="I16" s="9">
        <v>0</v>
      </c>
      <c r="J16" s="9">
        <v>276</v>
      </c>
      <c r="K16" s="9">
        <v>0</v>
      </c>
      <c r="L16" s="9">
        <v>0</v>
      </c>
      <c r="M16" s="10">
        <f t="shared" ref="M16:M19" si="3">SUM(C16:L16)</f>
        <v>118541</v>
      </c>
    </row>
    <row r="17" spans="1:13" x14ac:dyDescent="0.25">
      <c r="A17" s="22"/>
      <c r="B17" s="12" t="s">
        <v>29</v>
      </c>
      <c r="C17" s="11">
        <v>2878</v>
      </c>
      <c r="D17" s="11">
        <v>95279</v>
      </c>
      <c r="E17" s="11">
        <v>140574</v>
      </c>
      <c r="F17" s="11">
        <v>701464</v>
      </c>
      <c r="G17" s="11">
        <v>4596</v>
      </c>
      <c r="H17" s="11">
        <v>30407</v>
      </c>
      <c r="I17" s="11">
        <v>3111</v>
      </c>
      <c r="J17" s="11">
        <v>40670</v>
      </c>
      <c r="K17" s="11">
        <v>679</v>
      </c>
      <c r="L17" s="11">
        <v>14420</v>
      </c>
      <c r="M17" s="11">
        <f t="shared" si="3"/>
        <v>1034078</v>
      </c>
    </row>
    <row r="18" spans="1:13" x14ac:dyDescent="0.25">
      <c r="A18" s="22"/>
      <c r="B18" s="16" t="s">
        <v>31</v>
      </c>
      <c r="C18" s="9">
        <v>0</v>
      </c>
      <c r="D18" s="10">
        <v>0</v>
      </c>
      <c r="E18" s="10">
        <v>0</v>
      </c>
      <c r="F18" s="10">
        <v>0</v>
      </c>
      <c r="G18" s="10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10">
        <f t="shared" si="3"/>
        <v>0</v>
      </c>
    </row>
    <row r="19" spans="1:13" x14ac:dyDescent="0.25">
      <c r="A19" s="23"/>
      <c r="B19" s="12" t="s">
        <v>35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f t="shared" si="3"/>
        <v>0</v>
      </c>
    </row>
    <row r="20" spans="1:13" ht="15" customHeight="1" x14ac:dyDescent="0.25">
      <c r="A20" s="27" t="s">
        <v>13</v>
      </c>
      <c r="B20" s="14" t="s">
        <v>12</v>
      </c>
      <c r="C20" s="5">
        <f>SUM(C21:C25)</f>
        <v>131436</v>
      </c>
      <c r="D20" s="5">
        <f t="shared" ref="D20:L20" si="4">SUM(D21:D25)</f>
        <v>732474</v>
      </c>
      <c r="E20" s="5">
        <f t="shared" si="4"/>
        <v>1048375</v>
      </c>
      <c r="F20" s="5">
        <f t="shared" si="4"/>
        <v>638901</v>
      </c>
      <c r="G20" s="5">
        <f t="shared" si="4"/>
        <v>1008962</v>
      </c>
      <c r="H20" s="5">
        <f t="shared" si="4"/>
        <v>42008</v>
      </c>
      <c r="I20" s="5">
        <f t="shared" si="4"/>
        <v>13725</v>
      </c>
      <c r="J20" s="5">
        <f t="shared" si="4"/>
        <v>6355</v>
      </c>
      <c r="K20" s="5">
        <f t="shared" si="4"/>
        <v>0</v>
      </c>
      <c r="L20" s="5">
        <f t="shared" si="4"/>
        <v>0</v>
      </c>
      <c r="M20" s="5">
        <f t="shared" ref="M20" si="5">SUM(M21:M25)</f>
        <v>3622236</v>
      </c>
    </row>
    <row r="21" spans="1:13" x14ac:dyDescent="0.25">
      <c r="A21" s="28"/>
      <c r="B21" s="16" t="s">
        <v>21</v>
      </c>
      <c r="C21" s="9">
        <v>41662</v>
      </c>
      <c r="D21" s="10">
        <v>341330</v>
      </c>
      <c r="E21" s="10">
        <v>514664</v>
      </c>
      <c r="F21" s="10">
        <v>463492</v>
      </c>
      <c r="G21" s="10">
        <v>929809</v>
      </c>
      <c r="H21" s="9">
        <v>25435</v>
      </c>
      <c r="I21" s="9">
        <v>13725</v>
      </c>
      <c r="J21" s="9">
        <v>6002</v>
      </c>
      <c r="K21" s="9">
        <v>0</v>
      </c>
      <c r="L21" s="9">
        <v>0</v>
      </c>
      <c r="M21" s="10">
        <f t="shared" ref="M21:M25" si="6">SUM(C21:L21)</f>
        <v>2336119</v>
      </c>
    </row>
    <row r="22" spans="1:13" x14ac:dyDescent="0.25">
      <c r="A22" s="28"/>
      <c r="B22" s="12" t="s">
        <v>24</v>
      </c>
      <c r="C22" s="11">
        <v>89774</v>
      </c>
      <c r="D22" s="11">
        <v>391144</v>
      </c>
      <c r="E22" s="11">
        <v>508993</v>
      </c>
      <c r="F22" s="11">
        <v>171910</v>
      </c>
      <c r="G22" s="11">
        <v>72614</v>
      </c>
      <c r="H22" s="11">
        <v>9974</v>
      </c>
      <c r="I22" s="11">
        <v>0</v>
      </c>
      <c r="J22" s="11">
        <v>353</v>
      </c>
      <c r="K22" s="11">
        <v>0</v>
      </c>
      <c r="L22" s="11">
        <v>0</v>
      </c>
      <c r="M22" s="11">
        <f t="shared" si="6"/>
        <v>1244762</v>
      </c>
    </row>
    <row r="23" spans="1:13" x14ac:dyDescent="0.25">
      <c r="A23" s="28"/>
      <c r="B23" s="16" t="s">
        <v>30</v>
      </c>
      <c r="C23" s="9">
        <v>0</v>
      </c>
      <c r="D23" s="10">
        <v>0</v>
      </c>
      <c r="E23" s="10">
        <v>21418</v>
      </c>
      <c r="F23" s="10">
        <v>3499</v>
      </c>
      <c r="G23" s="10">
        <v>6539</v>
      </c>
      <c r="H23" s="9">
        <v>6599</v>
      </c>
      <c r="I23" s="9">
        <v>0</v>
      </c>
      <c r="J23" s="9">
        <v>0</v>
      </c>
      <c r="K23" s="9">
        <v>0</v>
      </c>
      <c r="L23" s="9">
        <v>0</v>
      </c>
      <c r="M23" s="10">
        <f t="shared" si="6"/>
        <v>38055</v>
      </c>
    </row>
    <row r="24" spans="1:13" x14ac:dyDescent="0.25">
      <c r="A24" s="28"/>
      <c r="B24" s="12" t="s">
        <v>18</v>
      </c>
      <c r="C24" s="11">
        <v>0</v>
      </c>
      <c r="D24" s="11">
        <v>0</v>
      </c>
      <c r="E24" s="11">
        <v>3300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f t="shared" si="6"/>
        <v>3300</v>
      </c>
    </row>
    <row r="25" spans="1:13" x14ac:dyDescent="0.25">
      <c r="A25" s="29"/>
      <c r="B25" s="16" t="s">
        <v>37</v>
      </c>
      <c r="C25" s="9">
        <v>0</v>
      </c>
      <c r="D25" s="10">
        <v>0</v>
      </c>
      <c r="E25" s="10">
        <v>0</v>
      </c>
      <c r="F25" s="10">
        <v>0</v>
      </c>
      <c r="G25" s="10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0">
        <f t="shared" si="6"/>
        <v>0</v>
      </c>
    </row>
    <row r="26" spans="1:13" x14ac:dyDescent="0.25">
      <c r="A26" s="18" t="s">
        <v>14</v>
      </c>
      <c r="B26" s="14" t="s">
        <v>12</v>
      </c>
      <c r="C26" s="5">
        <f>SUM(C27:C39)</f>
        <v>382573</v>
      </c>
      <c r="D26" s="5">
        <f t="shared" ref="D26:L26" si="7">SUM(D27:D39)</f>
        <v>1102817</v>
      </c>
      <c r="E26" s="5">
        <f t="shared" si="7"/>
        <v>407884</v>
      </c>
      <c r="F26" s="5">
        <f t="shared" si="7"/>
        <v>878376</v>
      </c>
      <c r="G26" s="5">
        <f t="shared" si="7"/>
        <v>73892</v>
      </c>
      <c r="H26" s="5">
        <f t="shared" si="7"/>
        <v>267028</v>
      </c>
      <c r="I26" s="5">
        <f t="shared" si="7"/>
        <v>15511</v>
      </c>
      <c r="J26" s="5">
        <f t="shared" si="7"/>
        <v>87597</v>
      </c>
      <c r="K26" s="5">
        <f t="shared" si="7"/>
        <v>739</v>
      </c>
      <c r="L26" s="5">
        <f t="shared" si="7"/>
        <v>75607</v>
      </c>
      <c r="M26" s="5">
        <f t="shared" ref="M26" si="8">SUM(M27:M39)</f>
        <v>3292024</v>
      </c>
    </row>
    <row r="27" spans="1:13" x14ac:dyDescent="0.25">
      <c r="A27" s="18"/>
      <c r="B27" s="16" t="s">
        <v>32</v>
      </c>
      <c r="C27" s="9">
        <v>0</v>
      </c>
      <c r="D27" s="10">
        <v>9315</v>
      </c>
      <c r="E27" s="10">
        <v>10233</v>
      </c>
      <c r="F27" s="10">
        <v>0</v>
      </c>
      <c r="G27" s="10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f t="shared" ref="M27:M39" si="9">SUM(C27:L27)</f>
        <v>19548</v>
      </c>
    </row>
    <row r="28" spans="1:13" x14ac:dyDescent="0.25">
      <c r="A28" s="18"/>
      <c r="B28" s="12" t="s">
        <v>38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f t="shared" si="9"/>
        <v>0</v>
      </c>
    </row>
    <row r="29" spans="1:13" x14ac:dyDescent="0.25">
      <c r="A29" s="18"/>
      <c r="B29" s="16" t="s">
        <v>22</v>
      </c>
      <c r="C29" s="9">
        <v>48874</v>
      </c>
      <c r="D29" s="10">
        <v>1453</v>
      </c>
      <c r="E29" s="10">
        <v>197462</v>
      </c>
      <c r="F29" s="10">
        <v>5303</v>
      </c>
      <c r="G29" s="10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0">
        <f t="shared" si="9"/>
        <v>253092</v>
      </c>
    </row>
    <row r="30" spans="1:13" x14ac:dyDescent="0.25">
      <c r="A30" s="18"/>
      <c r="B30" s="12" t="s">
        <v>23</v>
      </c>
      <c r="C30" s="11">
        <v>130506</v>
      </c>
      <c r="D30" s="11">
        <v>14848</v>
      </c>
      <c r="E30" s="11">
        <v>0</v>
      </c>
      <c r="F30" s="11">
        <v>3610</v>
      </c>
      <c r="G30" s="11">
        <v>46370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f t="shared" si="9"/>
        <v>195334</v>
      </c>
    </row>
    <row r="31" spans="1:13" x14ac:dyDescent="0.25">
      <c r="A31" s="18"/>
      <c r="B31" s="16" t="s">
        <v>25</v>
      </c>
      <c r="C31" s="9">
        <v>17433</v>
      </c>
      <c r="D31" s="10">
        <v>122964</v>
      </c>
      <c r="E31" s="10">
        <v>154352</v>
      </c>
      <c r="F31" s="10">
        <v>75021</v>
      </c>
      <c r="G31" s="10">
        <v>2340</v>
      </c>
      <c r="H31" s="9">
        <v>2805</v>
      </c>
      <c r="I31" s="9">
        <v>0</v>
      </c>
      <c r="J31" s="9">
        <v>2473</v>
      </c>
      <c r="K31" s="9">
        <v>0</v>
      </c>
      <c r="L31" s="9">
        <v>0</v>
      </c>
      <c r="M31" s="10">
        <f t="shared" si="9"/>
        <v>377388</v>
      </c>
    </row>
    <row r="32" spans="1:13" x14ac:dyDescent="0.25">
      <c r="A32" s="18"/>
      <c r="B32" s="12" t="s">
        <v>15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5558</v>
      </c>
      <c r="I32" s="11">
        <v>0</v>
      </c>
      <c r="J32" s="11">
        <v>0</v>
      </c>
      <c r="K32" s="11">
        <v>0</v>
      </c>
      <c r="L32" s="11">
        <v>0</v>
      </c>
      <c r="M32" s="11">
        <f t="shared" si="9"/>
        <v>5558</v>
      </c>
    </row>
    <row r="33" spans="1:13" x14ac:dyDescent="0.25">
      <c r="A33" s="18"/>
      <c r="B33" s="16" t="s">
        <v>16</v>
      </c>
      <c r="C33" s="9">
        <v>27539</v>
      </c>
      <c r="D33" s="10">
        <v>0</v>
      </c>
      <c r="E33" s="10">
        <v>12954</v>
      </c>
      <c r="F33" s="10">
        <v>101782</v>
      </c>
      <c r="G33" s="10">
        <v>0</v>
      </c>
      <c r="H33" s="9">
        <v>7140</v>
      </c>
      <c r="I33" s="9">
        <v>0</v>
      </c>
      <c r="J33" s="9">
        <v>44228</v>
      </c>
      <c r="K33" s="9">
        <v>0</v>
      </c>
      <c r="L33" s="9">
        <v>0</v>
      </c>
      <c r="M33" s="10">
        <f t="shared" si="9"/>
        <v>193643</v>
      </c>
    </row>
    <row r="34" spans="1:13" x14ac:dyDescent="0.25">
      <c r="A34" s="18"/>
      <c r="B34" s="12" t="s">
        <v>27</v>
      </c>
      <c r="C34" s="11">
        <v>5527</v>
      </c>
      <c r="D34" s="11">
        <v>4174</v>
      </c>
      <c r="E34" s="11">
        <v>0</v>
      </c>
      <c r="F34" s="11">
        <v>12852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f t="shared" si="9"/>
        <v>22553</v>
      </c>
    </row>
    <row r="35" spans="1:13" x14ac:dyDescent="0.25">
      <c r="A35" s="18"/>
      <c r="B35" s="16" t="s">
        <v>17</v>
      </c>
      <c r="C35" s="9">
        <v>64703</v>
      </c>
      <c r="D35" s="10">
        <v>833316</v>
      </c>
      <c r="E35" s="10">
        <v>0</v>
      </c>
      <c r="F35" s="10">
        <v>656213</v>
      </c>
      <c r="G35" s="10">
        <v>0</v>
      </c>
      <c r="H35" s="9">
        <v>249525</v>
      </c>
      <c r="I35" s="9">
        <v>0</v>
      </c>
      <c r="J35" s="9">
        <v>38396</v>
      </c>
      <c r="K35" s="9">
        <v>0</v>
      </c>
      <c r="L35" s="9">
        <v>75607</v>
      </c>
      <c r="M35" s="10">
        <f t="shared" si="9"/>
        <v>1917760</v>
      </c>
    </row>
    <row r="36" spans="1:13" x14ac:dyDescent="0.25">
      <c r="A36" s="18"/>
      <c r="B36" s="12" t="s">
        <v>28</v>
      </c>
      <c r="C36" s="11">
        <v>5332</v>
      </c>
      <c r="D36" s="11">
        <v>76816</v>
      </c>
      <c r="E36" s="11">
        <v>3832</v>
      </c>
      <c r="F36" s="11">
        <v>0</v>
      </c>
      <c r="G36" s="11">
        <v>1400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f t="shared" si="9"/>
        <v>87380</v>
      </c>
    </row>
    <row r="37" spans="1:13" x14ac:dyDescent="0.25">
      <c r="A37" s="18"/>
      <c r="B37" s="16" t="s">
        <v>33</v>
      </c>
      <c r="C37" s="9">
        <v>82659</v>
      </c>
      <c r="D37" s="10">
        <v>39931</v>
      </c>
      <c r="E37" s="10">
        <v>26151</v>
      </c>
      <c r="F37" s="10">
        <v>4104</v>
      </c>
      <c r="G37" s="10">
        <v>23782</v>
      </c>
      <c r="H37" s="9">
        <v>2000</v>
      </c>
      <c r="I37" s="9">
        <v>6723</v>
      </c>
      <c r="J37" s="9">
        <v>2500</v>
      </c>
      <c r="K37" s="9">
        <v>0</v>
      </c>
      <c r="L37" s="9">
        <v>0</v>
      </c>
      <c r="M37" s="10">
        <f t="shared" si="9"/>
        <v>187850</v>
      </c>
    </row>
    <row r="38" spans="1:13" x14ac:dyDescent="0.25">
      <c r="A38" s="18"/>
      <c r="B38" s="12" t="s">
        <v>34</v>
      </c>
      <c r="C38" s="11">
        <v>0</v>
      </c>
      <c r="D38" s="11">
        <v>0</v>
      </c>
      <c r="E38" s="11">
        <v>2900</v>
      </c>
      <c r="F38" s="11">
        <v>19491</v>
      </c>
      <c r="G38" s="11">
        <v>0</v>
      </c>
      <c r="H38" s="11">
        <v>0</v>
      </c>
      <c r="I38" s="11">
        <v>8788</v>
      </c>
      <c r="J38" s="11">
        <v>0</v>
      </c>
      <c r="K38" s="11">
        <v>739</v>
      </c>
      <c r="L38" s="11">
        <v>0</v>
      </c>
      <c r="M38" s="11">
        <f t="shared" si="9"/>
        <v>31918</v>
      </c>
    </row>
    <row r="39" spans="1:13" x14ac:dyDescent="0.25">
      <c r="A39" s="18"/>
      <c r="B39" s="16" t="s">
        <v>36</v>
      </c>
      <c r="C39" s="9">
        <v>0</v>
      </c>
      <c r="D39" s="10">
        <v>0</v>
      </c>
      <c r="E39" s="10">
        <v>0</v>
      </c>
      <c r="F39" s="10">
        <v>0</v>
      </c>
      <c r="G39" s="10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0">
        <f t="shared" si="9"/>
        <v>0</v>
      </c>
    </row>
    <row r="40" spans="1:13" x14ac:dyDescent="0.25">
      <c r="A40" s="16"/>
      <c r="B40" s="16"/>
      <c r="C40" s="17">
        <f>SUM(C13,C20,C26)</f>
        <v>556874</v>
      </c>
      <c r="D40" s="17">
        <f>SUM(D13,D20,D26)</f>
        <v>2696196</v>
      </c>
      <c r="E40" s="17">
        <f>SUM(E13,E20,E26)</f>
        <v>2368446</v>
      </c>
      <c r="F40" s="17">
        <f>SUM(F13,F20,F26)</f>
        <v>2433689</v>
      </c>
      <c r="G40" s="17">
        <f>SUM(G13,G20,G26)</f>
        <v>1534272</v>
      </c>
      <c r="H40" s="17">
        <f>SUM(H13,H20,H26)</f>
        <v>435101</v>
      </c>
      <c r="I40" s="17">
        <f>SUM(I13,I20,I26)</f>
        <v>39331</v>
      </c>
      <c r="J40" s="17">
        <f>SUM(J13,J20,J26)</f>
        <v>152280</v>
      </c>
      <c r="K40" s="17">
        <f>SUM(K13,K20,K26)</f>
        <v>13110</v>
      </c>
      <c r="L40" s="17">
        <f>SUM(L13,L20,L26)</f>
        <v>98931</v>
      </c>
      <c r="M40" s="17">
        <f>SUM(M13,M20,M26)</f>
        <v>10328230</v>
      </c>
    </row>
  </sheetData>
  <mergeCells count="9">
    <mergeCell ref="A26:A39"/>
    <mergeCell ref="B3:B4"/>
    <mergeCell ref="M3:M4"/>
    <mergeCell ref="A13:A19"/>
    <mergeCell ref="B1:L1"/>
    <mergeCell ref="D3:G3"/>
    <mergeCell ref="H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H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2024-09-17T08:36:29Z</cp:lastPrinted>
  <dcterms:created xsi:type="dcterms:W3CDTF">2015-06-05T18:17:20Z</dcterms:created>
  <dcterms:modified xsi:type="dcterms:W3CDTF">2024-09-17T08:50:52Z</dcterms:modified>
</cp:coreProperties>
</file>