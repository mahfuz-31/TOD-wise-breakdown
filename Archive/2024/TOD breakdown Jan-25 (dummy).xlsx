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24BC911C-056F-4064-8B08-E3BB67BF204C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Sheet1!$B$3:$M$38</definedName>
    <definedName name="_xlnm.Print_Area" localSheetId="0">Sheet1!$A$1:$M$38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M8" i="3" s="1"/>
  <c r="M28" i="3"/>
  <c r="M29" i="3"/>
  <c r="M30" i="3"/>
  <c r="M31" i="3"/>
  <c r="M32" i="3"/>
  <c r="M33" i="3"/>
  <c r="M34" i="3"/>
  <c r="M35" i="3"/>
  <c r="M36" i="3"/>
  <c r="M37" i="3"/>
  <c r="H26" i="3"/>
  <c r="H13" i="3"/>
  <c r="H20" i="3"/>
  <c r="M23" i="3"/>
  <c r="H4" i="3"/>
  <c r="M21" i="3"/>
  <c r="J20" i="3"/>
  <c r="M22" i="3"/>
  <c r="E20" i="3"/>
  <c r="M7" i="3"/>
  <c r="M24" i="3" l="1"/>
  <c r="M11" i="3"/>
  <c r="M25" i="3"/>
  <c r="L26" i="3"/>
  <c r="E26" i="3"/>
  <c r="K20" i="3"/>
  <c r="C20" i="3"/>
  <c r="D26" i="3"/>
  <c r="I20" i="3"/>
  <c r="G26" i="3"/>
  <c r="J26" i="3"/>
  <c r="F20" i="3"/>
  <c r="I26" i="3"/>
  <c r="D20" i="3"/>
  <c r="C26" i="3"/>
  <c r="K26" i="3"/>
  <c r="F26" i="3"/>
  <c r="L20" i="3"/>
  <c r="G20" i="3"/>
  <c r="M19" i="3"/>
  <c r="M15" i="3"/>
  <c r="M16" i="3"/>
  <c r="L13" i="3"/>
  <c r="K13" i="3"/>
  <c r="J13" i="3"/>
  <c r="I13" i="3"/>
  <c r="M17" i="3"/>
  <c r="L4" i="3"/>
  <c r="K4" i="3"/>
  <c r="J4" i="3"/>
  <c r="I4" i="3"/>
  <c r="M9" i="3"/>
  <c r="G4" i="3"/>
  <c r="F4" i="3"/>
  <c r="E4" i="3"/>
  <c r="M10" i="3"/>
  <c r="D4" i="3"/>
  <c r="M6" i="3"/>
  <c r="C4" i="3"/>
  <c r="C3" i="3" s="1"/>
  <c r="C13" i="3"/>
  <c r="D13" i="3"/>
  <c r="E13" i="3"/>
  <c r="M27" i="3"/>
  <c r="F13" i="3"/>
  <c r="M18" i="3"/>
  <c r="M14" i="3"/>
  <c r="G13" i="3"/>
  <c r="J38" i="3" l="1"/>
  <c r="L38" i="3"/>
  <c r="H38" i="3"/>
  <c r="E38" i="3"/>
  <c r="I38" i="3"/>
  <c r="K38" i="3"/>
  <c r="M20" i="3"/>
  <c r="I3" i="3"/>
  <c r="D3" i="3"/>
  <c r="M3" i="3"/>
  <c r="C38" i="3"/>
  <c r="D38" i="3"/>
  <c r="M26" i="3"/>
  <c r="M13" i="3"/>
  <c r="F38" i="3"/>
  <c r="G38" i="3"/>
  <c r="M38" i="3" l="1"/>
</calcChain>
</file>

<file path=xl/sharedStrings.xml><?xml version="1.0" encoding="utf-8"?>
<sst xmlns="http://schemas.openxmlformats.org/spreadsheetml/2006/main" count="50" uniqueCount="48">
  <si>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</si>
  <si>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</si>
  <si>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</si>
  <si>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</si>
  <si>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</si>
  <si>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</si>
  <si>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</si>
  <si>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</si>
  <si>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</si>
  <si>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</si>
  <si>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</si>
  <si>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</si>
  <si>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</si>
  <si>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</si>
  <si>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</si>
  <si>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</si>
  <si>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</si>
  <si>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</si>
  <si>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</si>
  <si>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</si>
  <si>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</si>
  <si>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</si>
  <si>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</si>
  <si>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</si>
  <si>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</si>
  <si>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</si>
  <si>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</si>
  <si>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</si>
  <si>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</si>
  <si>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</si>
  <si>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</si>
  <si>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</si>
  <si>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</si>
  <si>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</si>
  <si>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OCHNIK</t>
  </si>
  <si>
    <t>ITX LADIES</t>
  </si>
  <si>
    <t>ITX KIDS</t>
  </si>
  <si>
    <t>JKL2</t>
  </si>
  <si>
    <t>Before Jan-25</t>
  </si>
  <si>
    <t>1-7/Jan-25</t>
  </si>
  <si>
    <t>8-15/Jan-25</t>
  </si>
  <si>
    <t>16-23/Jan-25</t>
  </si>
  <si>
    <t>24-31/Jan-25</t>
  </si>
  <si>
    <t>1-5/Feb-25</t>
  </si>
  <si>
    <t>6-10/Feb-25</t>
  </si>
  <si>
    <t>11-20/Feb-25</t>
  </si>
  <si>
    <t>21-28/Feb-25</t>
  </si>
  <si>
    <t>Jan-25 Sewing Plan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</si>
</sst>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3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2" xfId="0" applyNumberFormat="1" applyFont="1" applyFill="1" applyBorder="1"/>
    <xf numFmtId="3" fontId="2" fillId="2" borderId="2" xfId="0" applyNumberFormat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164" fontId="2" fillId="2" borderId="2" xfId="0" applyNumberFormat="1" applyFont="1" applyFill="1" applyBorder="1"/>
    <xf numFmtId="3" fontId="3" fillId="3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38"/>
  <sheetViews>
    <sheetView tabSelected="1" topLeftCell="B1" zoomScaleNormal="100" workbookViewId="0">
      <selection activeCell="F9" sqref="F9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" style="1" bestFit="1" customWidth="1"/>
    <col min="6" max="7" width="13.28515625" style="1" bestFit="1" customWidth="1"/>
    <col min="8" max="8" width="11.140625" style="1" bestFit="1" customWidth="1"/>
    <col min="9" max="9" width="12.28515625" style="1" bestFit="1" customWidth="1"/>
    <col min="10" max="11" width="13.5703125" style="1" bestFit="1" customWidth="1"/>
    <col min="12" max="12" width="13" style="1" customWidth="1"/>
    <col min="13" max="13" width="16.42578125" style="1" customWidth="1"/>
    <col min="14" max="16384" width="9.140625" style="1"/>
  </cols>
  <sheetData>
    <row r="1" spans="1:13" ht="23.25" x14ac:dyDescent="0.35">
      <c r="B1" s="24" t="s">
        <v>47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17">
        <v>45643</v>
      </c>
    </row>
    <row r="2" spans="1:13" x14ac:dyDescent="0.25">
      <c r="A2" s="2" t="s">
        <v>0</v>
      </c>
    </row>
    <row r="3" spans="1:13" ht="15.75" x14ac:dyDescent="0.25">
      <c r="B3" s="19" t="s">
        <v>1</v>
      </c>
      <c r="C3" s="3">
        <f>C4</f>
        <v>910487</v>
      </c>
      <c r="D3" s="25">
        <f>SUM(D4:G4)</f>
        <v>11032919</v>
      </c>
      <c r="E3" s="25"/>
      <c r="F3" s="25"/>
      <c r="G3" s="25"/>
      <c r="H3" s="16"/>
      <c r="I3" s="25">
        <f>SUM(I4:L4)</f>
        <v>761711</v>
      </c>
      <c r="J3" s="25"/>
      <c r="K3" s="25"/>
      <c r="L3" s="25"/>
      <c r="M3" s="20">
        <f>SUM(M6:M11)</f>
        <v>13451462</v>
      </c>
    </row>
    <row r="4" spans="1:13" x14ac:dyDescent="0.25">
      <c r="B4" s="19"/>
      <c r="C4" s="4">
        <f>SUM(C6:C11)</f>
        <v>910487</v>
      </c>
      <c r="D4" s="4">
        <f t="shared" ref="D4:I4" si="0">SUM(D6:D11)</f>
        <v>2903527</v>
      </c>
      <c r="E4" s="4">
        <f t="shared" si="0"/>
        <v>4458289</v>
      </c>
      <c r="F4" s="4">
        <f t="shared" si="0"/>
        <v>2124643</v>
      </c>
      <c r="G4" s="4">
        <f t="shared" si="0"/>
        <v>1546460</v>
      </c>
      <c r="H4" s="4">
        <f t="shared" si="0"/>
        <v>746345</v>
      </c>
      <c r="I4" s="4">
        <f t="shared" si="0"/>
        <v>188374</v>
      </c>
      <c r="J4" s="4">
        <f>SUM(J6:J11)</f>
        <v>120706</v>
      </c>
      <c r="K4" s="4">
        <f>SUM(K6:K11)</f>
        <v>104189</v>
      </c>
      <c r="L4" s="4">
        <f>SUM(L6:L11)</f>
        <v>348442</v>
      </c>
      <c r="M4" s="20"/>
    </row>
    <row r="5" spans="1:13" ht="15.75" customHeight="1" x14ac:dyDescent="0.25">
      <c r="B5" s="5" t="s">
        <v>2</v>
      </c>
      <c r="C5" s="6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3</v>
      </c>
      <c r="M5" s="5" t="s">
        <v>4</v>
      </c>
    </row>
    <row r="6" spans="1:13" x14ac:dyDescent="0.25">
      <c r="B6" s="14" t="s">
        <v>5</v>
      </c>
      <c r="C6" s="8">
        <v>251055</v>
      </c>
      <c r="D6" s="9">
        <v>347062</v>
      </c>
      <c r="E6" s="9">
        <v>1247381</v>
      </c>
      <c r="F6" s="9">
        <v>428605</v>
      </c>
      <c r="G6" s="9">
        <v>179562</v>
      </c>
      <c r="H6" s="8">
        <v>10004</v>
      </c>
      <c r="I6" s="8">
        <v>17223</v>
      </c>
      <c r="J6" s="8"/>
      <c r="K6" s="8"/>
      <c r="L6" s="8"/>
      <c r="M6" s="9">
        <f t="shared" ref="M6:M11" si="1">SUM(C6:L6)</f>
        <v>2480892</v>
      </c>
    </row>
    <row r="7" spans="1:13" x14ac:dyDescent="0.25">
      <c r="B7" s="11" t="s">
        <v>6</v>
      </c>
      <c r="C7" s="10">
        <v>36074</v>
      </c>
      <c r="D7" s="10">
        <v>545364</v>
      </c>
      <c r="E7" s="10">
        <v>147092</v>
      </c>
      <c r="F7" s="10">
        <v>295431</v>
      </c>
      <c r="G7" s="10">
        <v>398765</v>
      </c>
      <c r="H7" s="10">
        <v>9717</v>
      </c>
      <c r="I7" s="10"/>
      <c r="J7" s="11"/>
      <c r="K7" s="10"/>
      <c r="L7" s="10"/>
      <c r="M7" s="10">
        <f t="shared" si="1"/>
        <v>1432443</v>
      </c>
    </row>
    <row r="8" spans="1:13" x14ac:dyDescent="0.25">
      <c r="B8" s="14" t="s">
        <v>7</v>
      </c>
      <c r="C8" s="8">
        <v>185508</v>
      </c>
      <c r="D8" s="9">
        <v>270947</v>
      </c>
      <c r="E8" s="9">
        <v>485464</v>
      </c>
      <c r="F8" s="9">
        <f>157346+75000</f>
        <v>232346</v>
      </c>
      <c r="G8" s="9">
        <v>313127</v>
      </c>
      <c r="H8" s="8">
        <v>383726</v>
      </c>
      <c r="I8" s="8">
        <v>9853</v>
      </c>
      <c r="J8" s="8">
        <v>2338</v>
      </c>
      <c r="K8" s="8">
        <v>91026</v>
      </c>
      <c r="L8" s="8">
        <v>30228</v>
      </c>
      <c r="M8" s="9">
        <f t="shared" si="1"/>
        <v>2004563</v>
      </c>
    </row>
    <row r="9" spans="1:13" x14ac:dyDescent="0.25">
      <c r="B9" s="11" t="s">
        <v>8</v>
      </c>
      <c r="C9" s="10">
        <v>181126</v>
      </c>
      <c r="D9" s="10">
        <v>384869</v>
      </c>
      <c r="E9" s="10">
        <v>349844</v>
      </c>
      <c r="F9" s="10">
        <v>354145</v>
      </c>
      <c r="G9" s="10">
        <v>110610</v>
      </c>
      <c r="H9" s="10">
        <v>66228</v>
      </c>
      <c r="I9" s="10">
        <v>109421</v>
      </c>
      <c r="J9" s="11">
        <v>117384</v>
      </c>
      <c r="K9" s="10">
        <v>13163</v>
      </c>
      <c r="L9" s="10">
        <v>318214</v>
      </c>
      <c r="M9" s="10">
        <f t="shared" si="1"/>
        <v>2005004</v>
      </c>
    </row>
    <row r="10" spans="1:13" x14ac:dyDescent="0.25">
      <c r="B10" s="14" t="s">
        <v>9</v>
      </c>
      <c r="C10" s="8">
        <v>253604</v>
      </c>
      <c r="D10" s="9">
        <v>668913</v>
      </c>
      <c r="E10" s="9">
        <v>772788</v>
      </c>
      <c r="F10" s="9">
        <v>274248</v>
      </c>
      <c r="G10" s="9">
        <v>111349</v>
      </c>
      <c r="H10" s="8">
        <v>130151</v>
      </c>
      <c r="I10" s="8">
        <v>45401</v>
      </c>
      <c r="J10" s="8">
        <v>984</v>
      </c>
      <c r="K10" s="8"/>
      <c r="L10" s="8"/>
      <c r="M10" s="9">
        <f t="shared" si="1"/>
        <v>2257438</v>
      </c>
    </row>
    <row r="11" spans="1:13" x14ac:dyDescent="0.25">
      <c r="B11" s="11" t="s">
        <v>37</v>
      </c>
      <c r="C11" s="10">
        <v>3120</v>
      </c>
      <c r="D11" s="10">
        <v>686372</v>
      </c>
      <c r="E11" s="10">
        <v>1455720</v>
      </c>
      <c r="F11" s="10">
        <v>539868</v>
      </c>
      <c r="G11" s="10">
        <v>433047</v>
      </c>
      <c r="H11" s="10">
        <v>146519</v>
      </c>
      <c r="I11" s="10">
        <v>6476</v>
      </c>
      <c r="J11" s="11"/>
      <c r="K11" s="10"/>
      <c r="L11" s="10"/>
      <c r="M11" s="10">
        <f t="shared" si="1"/>
        <v>3271122</v>
      </c>
    </row>
    <row r="12" spans="1:13" ht="25.5" customHeight="1" x14ac:dyDescent="0.25">
      <c r="A12" s="26" t="s">
        <v>10</v>
      </c>
      <c r="B12" s="26"/>
      <c r="C12" s="26"/>
      <c r="D12" s="12"/>
      <c r="E12" s="12"/>
      <c r="F12" s="12"/>
      <c r="G12" s="12"/>
      <c r="H12" s="12"/>
      <c r="I12" s="12"/>
      <c r="J12" s="12"/>
      <c r="K12" s="12"/>
      <c r="L12" s="12"/>
    </row>
    <row r="13" spans="1:13" x14ac:dyDescent="0.25">
      <c r="A13" s="21" t="s">
        <v>11</v>
      </c>
      <c r="B13" s="13" t="s">
        <v>12</v>
      </c>
      <c r="C13" s="4">
        <f t="shared" ref="C13:M13" si="2">SUM(C14:C19)</f>
        <v>233453</v>
      </c>
      <c r="D13" s="4">
        <f t="shared" si="2"/>
        <v>791793</v>
      </c>
      <c r="E13" s="4">
        <f t="shared" si="2"/>
        <v>498279</v>
      </c>
      <c r="F13" s="4">
        <f t="shared" si="2"/>
        <v>623933</v>
      </c>
      <c r="G13" s="4">
        <f t="shared" si="2"/>
        <v>874799</v>
      </c>
      <c r="H13" s="4">
        <f>SUM(H14:H19)</f>
        <v>244742</v>
      </c>
      <c r="I13" s="4">
        <f t="shared" si="2"/>
        <v>117399</v>
      </c>
      <c r="J13" s="4">
        <f t="shared" si="2"/>
        <v>119722</v>
      </c>
      <c r="K13" s="4">
        <f t="shared" si="2"/>
        <v>34468</v>
      </c>
      <c r="L13" s="4">
        <f t="shared" si="2"/>
        <v>348442</v>
      </c>
      <c r="M13" s="4">
        <f t="shared" si="2"/>
        <v>3887030</v>
      </c>
    </row>
    <row r="14" spans="1:13" x14ac:dyDescent="0.25">
      <c r="A14" s="22"/>
      <c r="B14" s="14" t="s">
        <v>19</v>
      </c>
      <c r="C14" s="8">
        <v>204207</v>
      </c>
      <c r="D14" s="9">
        <v>370881</v>
      </c>
      <c r="E14" s="9">
        <v>417018</v>
      </c>
      <c r="F14" s="9">
        <v>367424</v>
      </c>
      <c r="G14" s="9">
        <v>694833</v>
      </c>
      <c r="H14" s="8">
        <v>214340</v>
      </c>
      <c r="I14" s="8">
        <v>117399</v>
      </c>
      <c r="J14" s="8">
        <v>65030</v>
      </c>
      <c r="K14" s="8">
        <v>34468</v>
      </c>
      <c r="L14" s="8">
        <v>164845</v>
      </c>
      <c r="M14" s="9">
        <f t="shared" ref="M14:M19" si="3">SUM(C14:L14)</f>
        <v>2650445</v>
      </c>
    </row>
    <row r="15" spans="1:13" x14ac:dyDescent="0.25">
      <c r="A15" s="22"/>
      <c r="B15" s="11" t="s">
        <v>20</v>
      </c>
      <c r="C15" s="10">
        <v>14604</v>
      </c>
      <c r="D15" s="10">
        <v>413838</v>
      </c>
      <c r="E15" s="10">
        <v>62255</v>
      </c>
      <c r="F15" s="10">
        <v>42414</v>
      </c>
      <c r="G15" s="10">
        <v>3141</v>
      </c>
      <c r="H15" s="10">
        <v>28991</v>
      </c>
      <c r="I15" s="10"/>
      <c r="J15" s="10"/>
      <c r="K15" s="10"/>
      <c r="L15" s="10"/>
      <c r="M15" s="10">
        <f t="shared" si="3"/>
        <v>565243</v>
      </c>
    </row>
    <row r="16" spans="1:13" x14ac:dyDescent="0.25">
      <c r="A16" s="22"/>
      <c r="B16" s="14" t="s">
        <v>26</v>
      </c>
      <c r="C16" s="8"/>
      <c r="D16" s="9"/>
      <c r="E16" s="9">
        <v>1700</v>
      </c>
      <c r="F16" s="9">
        <v>14120</v>
      </c>
      <c r="G16" s="9">
        <v>176825</v>
      </c>
      <c r="H16" s="8">
        <v>1411</v>
      </c>
      <c r="I16" s="8"/>
      <c r="J16" s="8"/>
      <c r="K16" s="8"/>
      <c r="L16" s="8"/>
      <c r="M16" s="9">
        <f t="shared" si="3"/>
        <v>194056</v>
      </c>
    </row>
    <row r="17" spans="1:13" x14ac:dyDescent="0.25">
      <c r="A17" s="22"/>
      <c r="B17" s="11" t="s">
        <v>29</v>
      </c>
      <c r="C17" s="10">
        <v>14642</v>
      </c>
      <c r="D17" s="10">
        <v>7074</v>
      </c>
      <c r="E17" s="10">
        <v>17306</v>
      </c>
      <c r="F17" s="10">
        <v>199975</v>
      </c>
      <c r="G17" s="10"/>
      <c r="H17" s="10"/>
      <c r="I17" s="10"/>
      <c r="J17" s="10">
        <v>54692</v>
      </c>
      <c r="K17" s="10"/>
      <c r="L17" s="10">
        <v>183597</v>
      </c>
      <c r="M17" s="10">
        <f t="shared" si="3"/>
        <v>477286</v>
      </c>
    </row>
    <row r="18" spans="1:13" x14ac:dyDescent="0.25">
      <c r="A18" s="22"/>
      <c r="B18" s="14" t="s">
        <v>31</v>
      </c>
      <c r="C18" s="8"/>
      <c r="D18" s="9"/>
      <c r="E18" s="9"/>
      <c r="F18" s="9"/>
      <c r="G18" s="9"/>
      <c r="H18" s="8"/>
      <c r="I18" s="8"/>
      <c r="J18" s="8"/>
      <c r="K18" s="8"/>
      <c r="L18" s="8"/>
      <c r="M18" s="9">
        <f t="shared" si="3"/>
        <v>0</v>
      </c>
    </row>
    <row r="19" spans="1:13" x14ac:dyDescent="0.25">
      <c r="A19" s="23"/>
      <c r="B19" s="11" t="s">
        <v>34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3"/>
        <v>0</v>
      </c>
    </row>
    <row r="20" spans="1:13" ht="15" customHeight="1" x14ac:dyDescent="0.25">
      <c r="A20" s="27" t="s">
        <v>13</v>
      </c>
      <c r="B20" s="13" t="s">
        <v>12</v>
      </c>
      <c r="C20" s="4">
        <f>SUM(C21:C25)</f>
        <v>504659</v>
      </c>
      <c r="D20" s="4">
        <f t="shared" ref="D20:L20" si="4">SUM(D21:D25)</f>
        <v>1758709</v>
      </c>
      <c r="E20" s="4">
        <f t="shared" si="4"/>
        <v>2767748</v>
      </c>
      <c r="F20" s="4">
        <f t="shared" si="4"/>
        <v>1096579</v>
      </c>
      <c r="G20" s="4">
        <f t="shared" si="4"/>
        <v>605213</v>
      </c>
      <c r="H20" s="4">
        <f t="shared" si="4"/>
        <v>174109</v>
      </c>
      <c r="I20" s="4">
        <f t="shared" si="4"/>
        <v>69100</v>
      </c>
      <c r="J20" s="4">
        <f t="shared" si="4"/>
        <v>984</v>
      </c>
      <c r="K20" s="4">
        <f t="shared" si="4"/>
        <v>0</v>
      </c>
      <c r="L20" s="4">
        <f t="shared" si="4"/>
        <v>0</v>
      </c>
      <c r="M20" s="4">
        <f t="shared" ref="M20" si="5">SUM(M21:M25)</f>
        <v>6977101</v>
      </c>
    </row>
    <row r="21" spans="1:13" x14ac:dyDescent="0.25">
      <c r="A21" s="28"/>
      <c r="B21" s="14" t="s">
        <v>21</v>
      </c>
      <c r="C21" s="8">
        <v>36361</v>
      </c>
      <c r="D21" s="9">
        <v>335152</v>
      </c>
      <c r="E21" s="9">
        <v>634470</v>
      </c>
      <c r="F21" s="9">
        <v>696750</v>
      </c>
      <c r="G21" s="9">
        <v>468178</v>
      </c>
      <c r="H21" s="8">
        <v>43958</v>
      </c>
      <c r="I21" s="8">
        <v>20509</v>
      </c>
      <c r="J21" s="8"/>
      <c r="K21" s="8"/>
      <c r="L21" s="8"/>
      <c r="M21" s="9">
        <f>SUM(C21:L21)</f>
        <v>2235378</v>
      </c>
    </row>
    <row r="22" spans="1:13" x14ac:dyDescent="0.25">
      <c r="A22" s="28"/>
      <c r="B22" s="11" t="s">
        <v>24</v>
      </c>
      <c r="C22" s="10">
        <v>397460</v>
      </c>
      <c r="D22" s="10">
        <v>1423557</v>
      </c>
      <c r="E22" s="10">
        <v>2080108</v>
      </c>
      <c r="F22" s="10">
        <v>399829</v>
      </c>
      <c r="G22" s="10">
        <v>135946</v>
      </c>
      <c r="H22" s="10">
        <v>130151</v>
      </c>
      <c r="I22" s="10">
        <v>48591</v>
      </c>
      <c r="J22" s="10">
        <v>984</v>
      </c>
      <c r="K22" s="10"/>
      <c r="L22" s="10"/>
      <c r="M22" s="10">
        <f>SUM(C22:L22)</f>
        <v>4616626</v>
      </c>
    </row>
    <row r="23" spans="1:13" x14ac:dyDescent="0.25">
      <c r="A23" s="28"/>
      <c r="B23" s="14" t="s">
        <v>30</v>
      </c>
      <c r="C23" s="8">
        <v>70224</v>
      </c>
      <c r="D23" s="9"/>
      <c r="E23" s="9">
        <v>53170</v>
      </c>
      <c r="F23" s="9"/>
      <c r="G23" s="9">
        <v>1089</v>
      </c>
      <c r="H23" s="8"/>
      <c r="I23" s="8"/>
      <c r="J23" s="8"/>
      <c r="K23" s="8"/>
      <c r="L23" s="8"/>
      <c r="M23" s="9">
        <f>SUM(C23:L23)</f>
        <v>124483</v>
      </c>
    </row>
    <row r="24" spans="1:13" x14ac:dyDescent="0.25">
      <c r="A24" s="28"/>
      <c r="B24" s="11" t="s">
        <v>18</v>
      </c>
      <c r="C24" s="10">
        <v>614</v>
      </c>
      <c r="D24" s="10"/>
      <c r="E24" s="10"/>
      <c r="F24" s="10"/>
      <c r="G24" s="10"/>
      <c r="H24" s="10"/>
      <c r="I24" s="10"/>
      <c r="J24" s="10"/>
      <c r="K24" s="10"/>
      <c r="L24" s="10"/>
      <c r="M24" s="10">
        <f>SUM(C24:L24)</f>
        <v>614</v>
      </c>
    </row>
    <row r="25" spans="1:13" x14ac:dyDescent="0.25">
      <c r="A25" s="29"/>
      <c r="B25" s="14" t="s">
        <v>36</v>
      </c>
      <c r="C25" s="8"/>
      <c r="D25" s="9"/>
      <c r="E25" s="9"/>
      <c r="F25" s="9"/>
      <c r="G25" s="9"/>
      <c r="H25" s="8"/>
      <c r="I25" s="8"/>
      <c r="J25" s="8"/>
      <c r="K25" s="8"/>
      <c r="L25" s="8"/>
      <c r="M25" s="9">
        <f>SUM(C25:L25)</f>
        <v>0</v>
      </c>
    </row>
    <row r="26" spans="1:13" x14ac:dyDescent="0.25">
      <c r="A26" s="18" t="s">
        <v>14</v>
      </c>
      <c r="B26" s="13" t="s">
        <v>12</v>
      </c>
      <c r="C26" s="4">
        <f t="shared" ref="C26:M26" si="6">SUM(C27:C37)</f>
        <v>172373</v>
      </c>
      <c r="D26" s="4">
        <f t="shared" si="6"/>
        <v>353025</v>
      </c>
      <c r="E26" s="4">
        <f t="shared" si="6"/>
        <v>1267263</v>
      </c>
      <c r="F26" s="4">
        <f t="shared" si="6"/>
        <v>329131</v>
      </c>
      <c r="G26" s="4">
        <f t="shared" si="6"/>
        <v>66449</v>
      </c>
      <c r="H26" s="4">
        <f t="shared" si="6"/>
        <v>327493</v>
      </c>
      <c r="I26" s="4">
        <f t="shared" si="6"/>
        <v>1875</v>
      </c>
      <c r="J26" s="4">
        <f t="shared" si="6"/>
        <v>0</v>
      </c>
      <c r="K26" s="4">
        <f t="shared" si="6"/>
        <v>69722</v>
      </c>
      <c r="L26" s="4">
        <f t="shared" si="6"/>
        <v>0</v>
      </c>
      <c r="M26" s="4">
        <f t="shared" si="6"/>
        <v>2587331</v>
      </c>
    </row>
    <row r="27" spans="1:13" x14ac:dyDescent="0.25">
      <c r="A27" s="18"/>
      <c r="B27" s="14" t="s">
        <v>32</v>
      </c>
      <c r="C27" s="8"/>
      <c r="D27" s="9"/>
      <c r="E27" s="9"/>
      <c r="F27" s="9"/>
      <c r="G27" s="9">
        <v>15167</v>
      </c>
      <c r="H27" s="8"/>
      <c r="I27" s="8"/>
      <c r="J27" s="8"/>
      <c r="K27" s="8"/>
      <c r="L27" s="8"/>
      <c r="M27" s="9">
        <f t="shared" ref="M27:M37" si="7">SUM(C27:L27)</f>
        <v>15167</v>
      </c>
    </row>
    <row r="28" spans="1:13" x14ac:dyDescent="0.25">
      <c r="A28" s="18"/>
      <c r="B28" s="14" t="s">
        <v>22</v>
      </c>
      <c r="C28" s="8">
        <v>52</v>
      </c>
      <c r="D28" s="9">
        <v>28922</v>
      </c>
      <c r="E28" s="9">
        <v>90815</v>
      </c>
      <c r="F28" s="9">
        <v>12945</v>
      </c>
      <c r="G28" s="9"/>
      <c r="H28" s="8"/>
      <c r="I28" s="8"/>
      <c r="J28" s="8"/>
      <c r="K28" s="8"/>
      <c r="L28" s="8"/>
      <c r="M28" s="9">
        <f t="shared" si="7"/>
        <v>132734</v>
      </c>
    </row>
    <row r="29" spans="1:13" x14ac:dyDescent="0.25">
      <c r="A29" s="18"/>
      <c r="B29" s="11" t="s">
        <v>23</v>
      </c>
      <c r="C29" s="10"/>
      <c r="D29" s="10">
        <v>4457</v>
      </c>
      <c r="E29" s="10">
        <v>166136</v>
      </c>
      <c r="F29" s="10">
        <v>165853</v>
      </c>
      <c r="G29" s="10">
        <v>13218</v>
      </c>
      <c r="H29" s="10">
        <v>601</v>
      </c>
      <c r="I29" s="10">
        <v>1875</v>
      </c>
      <c r="J29" s="10"/>
      <c r="K29" s="10"/>
      <c r="L29" s="10"/>
      <c r="M29" s="10">
        <f t="shared" si="7"/>
        <v>352140</v>
      </c>
    </row>
    <row r="30" spans="1:13" x14ac:dyDescent="0.25">
      <c r="A30" s="18"/>
      <c r="B30" s="14" t="s">
        <v>25</v>
      </c>
      <c r="C30" s="8">
        <v>7868</v>
      </c>
      <c r="D30" s="9">
        <v>41222</v>
      </c>
      <c r="E30" s="9">
        <v>1400</v>
      </c>
      <c r="F30" s="9">
        <v>1900</v>
      </c>
      <c r="G30" s="9">
        <v>15742</v>
      </c>
      <c r="H30" s="8">
        <v>96009</v>
      </c>
      <c r="I30" s="8"/>
      <c r="J30" s="8"/>
      <c r="K30" s="8"/>
      <c r="L30" s="8"/>
      <c r="M30" s="9">
        <f t="shared" si="7"/>
        <v>164141</v>
      </c>
    </row>
    <row r="31" spans="1:13" x14ac:dyDescent="0.25">
      <c r="A31" s="18"/>
      <c r="B31" s="11" t="s">
        <v>15</v>
      </c>
      <c r="C31" s="10">
        <v>289</v>
      </c>
      <c r="D31" s="10"/>
      <c r="E31" s="10">
        <v>800</v>
      </c>
      <c r="F31" s="10"/>
      <c r="G31" s="10"/>
      <c r="H31" s="10"/>
      <c r="I31" s="10"/>
      <c r="J31" s="10"/>
      <c r="K31" s="10"/>
      <c r="L31" s="10"/>
      <c r="M31" s="10">
        <f t="shared" si="7"/>
        <v>1089</v>
      </c>
    </row>
    <row r="32" spans="1:13" x14ac:dyDescent="0.25">
      <c r="A32" s="18"/>
      <c r="B32" s="14" t="s">
        <v>16</v>
      </c>
      <c r="C32" s="8">
        <v>2419</v>
      </c>
      <c r="D32" s="9"/>
      <c r="E32" s="9">
        <v>604930</v>
      </c>
      <c r="F32" s="9"/>
      <c r="G32" s="9"/>
      <c r="H32" s="8"/>
      <c r="I32" s="8"/>
      <c r="J32" s="8"/>
      <c r="K32" s="8"/>
      <c r="L32" s="8"/>
      <c r="M32" s="9">
        <f t="shared" si="7"/>
        <v>607349</v>
      </c>
    </row>
    <row r="33" spans="1:13" x14ac:dyDescent="0.25">
      <c r="A33" s="18"/>
      <c r="B33" s="11" t="s">
        <v>27</v>
      </c>
      <c r="C33" s="10">
        <v>50553</v>
      </c>
      <c r="D33" s="10">
        <v>4324</v>
      </c>
      <c r="E33" s="10">
        <v>17356</v>
      </c>
      <c r="F33" s="10">
        <v>14504</v>
      </c>
      <c r="G33" s="10">
        <v>11224</v>
      </c>
      <c r="H33" s="10"/>
      <c r="I33" s="10"/>
      <c r="J33" s="10"/>
      <c r="K33" s="10"/>
      <c r="L33" s="10"/>
      <c r="M33" s="10">
        <f t="shared" si="7"/>
        <v>97961</v>
      </c>
    </row>
    <row r="34" spans="1:13" x14ac:dyDescent="0.25">
      <c r="A34" s="18"/>
      <c r="B34" s="14" t="s">
        <v>17</v>
      </c>
      <c r="C34" s="8">
        <v>57950</v>
      </c>
      <c r="D34" s="9">
        <v>241525</v>
      </c>
      <c r="E34" s="9"/>
      <c r="F34" s="9">
        <v>125259</v>
      </c>
      <c r="G34" s="9"/>
      <c r="H34" s="8">
        <v>230883</v>
      </c>
      <c r="I34" s="8"/>
      <c r="J34" s="8"/>
      <c r="K34" s="8"/>
      <c r="L34" s="8"/>
      <c r="M34" s="9">
        <f t="shared" si="7"/>
        <v>655617</v>
      </c>
    </row>
    <row r="35" spans="1:13" x14ac:dyDescent="0.25">
      <c r="A35" s="18"/>
      <c r="B35" s="11" t="s">
        <v>28</v>
      </c>
      <c r="C35" s="10">
        <v>19332</v>
      </c>
      <c r="D35" s="10">
        <v>27575</v>
      </c>
      <c r="E35" s="10">
        <v>31626</v>
      </c>
      <c r="F35" s="10"/>
      <c r="G35" s="10">
        <v>11098</v>
      </c>
      <c r="H35" s="10"/>
      <c r="I35" s="10"/>
      <c r="J35" s="10"/>
      <c r="K35" s="10">
        <v>69722</v>
      </c>
      <c r="L35" s="10"/>
      <c r="M35" s="10">
        <f t="shared" si="7"/>
        <v>159353</v>
      </c>
    </row>
    <row r="36" spans="1:13" x14ac:dyDescent="0.25">
      <c r="A36" s="18"/>
      <c r="B36" s="14" t="s">
        <v>33</v>
      </c>
      <c r="C36" s="8">
        <v>33910</v>
      </c>
      <c r="D36" s="9">
        <v>5000</v>
      </c>
      <c r="E36" s="9">
        <v>4200</v>
      </c>
      <c r="F36" s="9">
        <v>8670</v>
      </c>
      <c r="G36" s="9"/>
      <c r="H36" s="8"/>
      <c r="I36" s="8"/>
      <c r="J36" s="8"/>
      <c r="K36" s="8"/>
      <c r="L36" s="8"/>
      <c r="M36" s="9">
        <f t="shared" si="7"/>
        <v>51780</v>
      </c>
    </row>
    <row r="37" spans="1:13" x14ac:dyDescent="0.25">
      <c r="A37" s="18"/>
      <c r="B37" s="14" t="s">
        <v>35</v>
      </c>
      <c r="C37" s="8"/>
      <c r="D37" s="9"/>
      <c r="E37" s="9">
        <v>350000</v>
      </c>
      <c r="F37" s="9"/>
      <c r="G37" s="9"/>
      <c r="H37" s="8"/>
      <c r="I37" s="8"/>
      <c r="J37" s="8"/>
      <c r="K37" s="8"/>
      <c r="L37" s="8"/>
      <c r="M37" s="9">
        <f t="shared" si="7"/>
        <v>350000</v>
      </c>
    </row>
    <row r="38" spans="1:13" x14ac:dyDescent="0.25">
      <c r="A38" s="14"/>
      <c r="B38" s="14"/>
      <c r="C38" s="15">
        <f t="shared" ref="C38:M38" si="8">SUM(C13,C20,C26)</f>
        <v>910485</v>
      </c>
      <c r="D38" s="15">
        <f t="shared" si="8"/>
        <v>2903527</v>
      </c>
      <c r="E38" s="15">
        <f t="shared" si="8"/>
        <v>4533290</v>
      </c>
      <c r="F38" s="15">
        <f t="shared" si="8"/>
        <v>2049643</v>
      </c>
      <c r="G38" s="15">
        <f t="shared" si="8"/>
        <v>1546461</v>
      </c>
      <c r="H38" s="15">
        <f t="shared" si="8"/>
        <v>746344</v>
      </c>
      <c r="I38" s="15">
        <f t="shared" si="8"/>
        <v>188374</v>
      </c>
      <c r="J38" s="15">
        <f t="shared" si="8"/>
        <v>120706</v>
      </c>
      <c r="K38" s="15">
        <f t="shared" si="8"/>
        <v>104190</v>
      </c>
      <c r="L38" s="15">
        <f t="shared" si="8"/>
        <v>348442</v>
      </c>
      <c r="M38" s="15">
        <f t="shared" si="8"/>
        <v>13451462</v>
      </c>
    </row>
  </sheetData>
  <mergeCells count="9">
    <mergeCell ref="A26:A37"/>
    <mergeCell ref="B3:B4"/>
    <mergeCell ref="M3:M4"/>
    <mergeCell ref="A13:A19"/>
    <mergeCell ref="B1:L1"/>
    <mergeCell ref="D3:G3"/>
    <mergeCell ref="I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2024-12-17T04:42:28Z</cp:lastPrinted>
  <dcterms:created xsi:type="dcterms:W3CDTF">2015-06-05T18:17:20Z</dcterms:created>
  <dcterms:modified xsi:type="dcterms:W3CDTF">2024-12-17T08:51:12Z</dcterms:modified>
</cp:coreProperties>
</file>