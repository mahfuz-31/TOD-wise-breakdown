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1DC4237C-FB12-4039-B53D-A7F26398816C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Print_Area" localSheetId="0">Sheet1!$A$1:$M$40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E26" i="3"/>
  <c r="F26" i="3"/>
  <c r="G26" i="3"/>
  <c r="H26" i="3"/>
  <c r="I26" i="3"/>
  <c r="J26" i="3"/>
  <c r="K26" i="3"/>
  <c r="L26" i="3"/>
  <c r="C26" i="3"/>
  <c r="D20" i="3"/>
  <c r="E20" i="3"/>
  <c r="F20" i="3"/>
  <c r="G20" i="3"/>
  <c r="H20" i="3"/>
  <c r="I20" i="3"/>
  <c r="J20" i="3"/>
  <c r="K20" i="3"/>
  <c r="L20" i="3"/>
  <c r="C20" i="3"/>
  <c r="M29" i="3"/>
  <c r="M24" i="3"/>
  <c r="M28" i="3"/>
  <c r="M36" i="3"/>
  <c r="M33" i="3"/>
  <c r="M32" i="3"/>
  <c r="M23" i="3"/>
  <c r="M15" i="3"/>
  <c r="M19" i="3"/>
  <c r="M16" i="3"/>
  <c r="M8" i="3"/>
  <c r="M11" i="3"/>
  <c r="K13" i="3"/>
  <c r="M7" i="3"/>
  <c r="L2" i="3"/>
  <c r="L13" i="3" l="1"/>
  <c r="J13" i="3"/>
  <c r="J40" i="3" s="1"/>
  <c r="I13" i="3"/>
  <c r="I40" i="3" s="1"/>
  <c r="H13" i="3"/>
  <c r="H40" i="3" s="1"/>
  <c r="M30" i="3"/>
  <c r="M37" i="3"/>
  <c r="M17" i="3"/>
  <c r="M38" i="3"/>
  <c r="M34" i="3"/>
  <c r="M22" i="3"/>
  <c r="L4" i="3"/>
  <c r="K4" i="3"/>
  <c r="J4" i="3"/>
  <c r="I4" i="3"/>
  <c r="H4" i="3"/>
  <c r="M9" i="3"/>
  <c r="G4" i="3"/>
  <c r="F4" i="3"/>
  <c r="E4" i="3"/>
  <c r="M10" i="3"/>
  <c r="D4" i="3"/>
  <c r="M6" i="3"/>
  <c r="C4" i="3"/>
  <c r="C3" i="3" s="1"/>
  <c r="C13" i="3"/>
  <c r="D13" i="3"/>
  <c r="M35" i="3"/>
  <c r="M31" i="3"/>
  <c r="M39" i="3"/>
  <c r="M25" i="3"/>
  <c r="E13" i="3"/>
  <c r="E40" i="3" s="1"/>
  <c r="M27" i="3"/>
  <c r="M21" i="3"/>
  <c r="F13" i="3"/>
  <c r="M18" i="3"/>
  <c r="M14" i="3"/>
  <c r="G13" i="3"/>
  <c r="L40" i="3"/>
  <c r="K40" i="3"/>
  <c r="M20" i="3" l="1"/>
  <c r="H3" i="3"/>
  <c r="D3" i="3"/>
  <c r="M3" i="3"/>
  <c r="C40" i="3"/>
  <c r="D40" i="3"/>
  <c r="M26" i="3"/>
  <c r="M13" i="3"/>
  <c r="F40" i="3"/>
  <c r="G40" i="3"/>
  <c r="M40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<sst xmlns="http://schemas.openxmlformats.org/spreadsheetml/2006/main" count="52" uniqueCount="50">
  <si>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</si>
  <si>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</si>
  <si>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</si>
  <si>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</si>
  <si>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</si>
  <si>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</si>
  <si>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</si>
  <si>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</si>
  <si>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</si>
  <si>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</si>
  <si>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</si>
  <si>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</si>
  <si>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</si>
  <si>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</si>
  <si>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</si>
  <si>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</si>
  <si>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</si>
  <si>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</si>
  <si>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</si>
  <si>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</si>
  <si>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</si>
  <si>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</si>
  <si>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</si>
  <si>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</si>
  <si>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</si>
  <si>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</si>
  <si>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</si>
  <si>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</si>
  <si>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</si>
  <si>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</si>
  <si>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</si>
  <si>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</si>
  <si>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</si>
  <si>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</si>
  <si>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</si>
  <si>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</si>
  <si>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</si>
  <si>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</si>
  <si>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ESPRIT MACAO COMMERCIAL OFFSHORE LTD.</t>
  </si>
  <si>
    <t>Before Sep</t>
  </si>
  <si>
    <t>Sep-24 Sewing Plan analysis</t>
  </si>
  <si>
    <t>1-7'/Sep</t>
  </si>
  <si>
    <t>8-15'/Sep</t>
  </si>
  <si>
    <t>16-23'/Sep</t>
  </si>
  <si>
    <t>01-05'/Oct</t>
  </si>
  <si>
    <t>6-10'/Oct</t>
  </si>
  <si>
    <t>11-20'/Oct</t>
  </si>
  <si>
    <t>24-30'/Sep</t>
  </si>
  <si>
    <t>21-31'/Oct</t>
  </si>
  <si>
    <t>JKL2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</si>
</sst>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5" fontId="3" fillId="0" borderId="0" xfId="0" applyNumberFormat="1" applyFont="1"/>
    <xf numFmtId="0" fontId="3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/>
    <xf numFmtId="3" fontId="4" fillId="3" borderId="2" xfId="0" applyNumberFormat="1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3" fillId="2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0" fontId="3" fillId="0" borderId="0" xfId="0" applyFont="1" applyAlignment="1">
      <alignment horizontal="left"/>
    </xf>
    <xf numFmtId="3" fontId="1" fillId="0" borderId="0" xfId="0" applyNumberFormat="1" applyFont="1"/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/>
    <xf numFmtId="164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40"/>
  <sheetViews>
    <sheetView tabSelected="1" topLeftCell="B19" workbookViewId="0">
      <selection activeCell="K34" sqref="K34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.140625" style="1" customWidth="1"/>
    <col min="6" max="6" width="11.7109375" style="1" customWidth="1"/>
    <col min="7" max="7" width="12.140625" style="1" customWidth="1"/>
    <col min="8" max="8" width="13.28515625" style="1" customWidth="1"/>
    <col min="9" max="9" width="11.42578125" style="1" customWidth="1"/>
    <col min="10" max="10" width="11" style="1" customWidth="1"/>
    <col min="11" max="11" width="13" style="1" customWidth="1"/>
    <col min="12" max="12" width="13.28515625" style="1" customWidth="1"/>
    <col min="13" max="13" width="16.42578125" style="1" customWidth="1"/>
    <col min="14" max="16384" width="9.140625" style="1"/>
  </cols>
  <sheetData>
    <row r="1" spans="1:13" ht="20.25" x14ac:dyDescent="0.3">
      <c r="B1" s="2" t="s">
        <v>40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x14ac:dyDescent="0.25">
      <c r="A2" s="3" t="s">
        <v>0</v>
      </c>
      <c r="L2" s="4">
        <f ca="1">TODAY()</f>
        <v>45536</v>
      </c>
    </row>
    <row r="3" spans="1:13" ht="15.75" x14ac:dyDescent="0.25">
      <c r="B3" s="5" t="s">
        <v>1</v>
      </c>
      <c r="C3" s="6">
        <f>C4</f>
        <v>2125091</v>
      </c>
      <c r="D3" s="7">
        <f>SUM(D4:G4)</f>
        <v>9076194</v>
      </c>
      <c r="E3" s="7"/>
      <c r="F3" s="7"/>
      <c r="G3" s="7"/>
      <c r="H3" s="7">
        <f>SUM(H4:L4)</f>
        <v>950846</v>
      </c>
      <c r="I3" s="7"/>
      <c r="J3" s="7"/>
      <c r="K3" s="7"/>
      <c r="L3" s="7"/>
      <c r="M3" s="8">
        <f>SUM(M6:M11)</f>
        <v>12152131</v>
      </c>
    </row>
    <row r="4" spans="1:13" x14ac:dyDescent="0.25">
      <c r="B4" s="5"/>
      <c r="C4" s="9">
        <f>SUM(C6:C11)</f>
        <v>2125091</v>
      </c>
      <c r="D4" s="9">
        <f t="shared" ref="D4:H4" si="0">SUM(D6:D11)</f>
        <v>2489678</v>
      </c>
      <c r="E4" s="9">
        <f t="shared" si="0"/>
        <v>1612039</v>
      </c>
      <c r="F4" s="9">
        <f t="shared" si="0"/>
        <v>3367158</v>
      </c>
      <c r="G4" s="9">
        <f t="shared" si="0"/>
        <v>1607319</v>
      </c>
      <c r="H4" s="9">
        <f t="shared" si="0"/>
        <v>598574</v>
      </c>
      <c r="I4" s="9">
        <f>SUM(I6:I11)</f>
        <v>73880</v>
      </c>
      <c r="J4" s="9">
        <f>SUM(J6:J11)</f>
        <v>173992</v>
      </c>
      <c r="K4" s="9">
        <f>SUM(K6:K11)</f>
        <v>13000</v>
      </c>
      <c r="L4" s="9">
        <f>SUM(L6:L11)</f>
        <v>91400</v>
      </c>
      <c r="M4" s="8"/>
    </row>
    <row r="5" spans="1:13" ht="15.75" customHeight="1" x14ac:dyDescent="0.25">
      <c r="B5" s="10" t="s">
        <v>2</v>
      </c>
      <c r="C5" s="11" t="s">
        <v>39</v>
      </c>
      <c r="D5" s="12" t="s">
        <v>41</v>
      </c>
      <c r="E5" s="12" t="s">
        <v>42</v>
      </c>
      <c r="F5" s="12" t="s">
        <v>43</v>
      </c>
      <c r="G5" s="12" t="s">
        <v>47</v>
      </c>
      <c r="H5" s="10" t="s">
        <v>44</v>
      </c>
      <c r="I5" s="10" t="s">
        <v>45</v>
      </c>
      <c r="J5" s="10" t="s">
        <v>46</v>
      </c>
      <c r="K5" s="10" t="s">
        <v>48</v>
      </c>
      <c r="L5" s="10" t="s">
        <v>3</v>
      </c>
      <c r="M5" s="10" t="s">
        <v>4</v>
      </c>
    </row>
    <row r="6" spans="1:13" x14ac:dyDescent="0.25">
      <c r="B6" s="26" t="s">
        <v>5</v>
      </c>
      <c r="C6" s="13">
        <v>84787</v>
      </c>
      <c r="D6" s="14">
        <v>296659</v>
      </c>
      <c r="E6" s="14">
        <v>357192</v>
      </c>
      <c r="F6" s="14">
        <v>708268</v>
      </c>
      <c r="G6" s="14">
        <v>212788</v>
      </c>
      <c r="H6" s="13">
        <v>253642</v>
      </c>
      <c r="I6" s="13">
        <v>22584</v>
      </c>
      <c r="J6" s="13">
        <v>26484</v>
      </c>
      <c r="K6" s="13">
        <v>0</v>
      </c>
      <c r="L6" s="13">
        <v>11934</v>
      </c>
      <c r="M6" s="14">
        <f t="shared" ref="M6:M11" si="1">SUM(C6:L6)</f>
        <v>1974338</v>
      </c>
    </row>
    <row r="7" spans="1:13" x14ac:dyDescent="0.25">
      <c r="B7" s="16" t="s">
        <v>6</v>
      </c>
      <c r="C7" s="15">
        <v>493460</v>
      </c>
      <c r="D7" s="15">
        <v>290286</v>
      </c>
      <c r="E7" s="15">
        <v>335877</v>
      </c>
      <c r="F7" s="15">
        <v>74189</v>
      </c>
      <c r="G7" s="15">
        <v>248985</v>
      </c>
      <c r="H7" s="15">
        <v>0</v>
      </c>
      <c r="I7" s="16">
        <v>0</v>
      </c>
      <c r="J7" s="15">
        <v>3024</v>
      </c>
      <c r="K7" s="15">
        <v>0</v>
      </c>
      <c r="L7" s="15">
        <v>0</v>
      </c>
      <c r="M7" s="15">
        <f t="shared" si="1"/>
        <v>1445821</v>
      </c>
    </row>
    <row r="8" spans="1:13" x14ac:dyDescent="0.25">
      <c r="B8" s="26" t="s">
        <v>7</v>
      </c>
      <c r="C8" s="13">
        <v>188153</v>
      </c>
      <c r="D8" s="14">
        <v>513106</v>
      </c>
      <c r="E8" s="14">
        <v>228424</v>
      </c>
      <c r="F8" s="14">
        <v>382483</v>
      </c>
      <c r="G8" s="14">
        <v>206703</v>
      </c>
      <c r="H8" s="13">
        <v>56159</v>
      </c>
      <c r="I8" s="13">
        <v>31625</v>
      </c>
      <c r="J8" s="13">
        <v>19898</v>
      </c>
      <c r="K8" s="13">
        <v>0</v>
      </c>
      <c r="L8" s="13">
        <v>27581</v>
      </c>
      <c r="M8" s="14">
        <f t="shared" si="1"/>
        <v>1654132</v>
      </c>
    </row>
    <row r="9" spans="1:13" x14ac:dyDescent="0.25">
      <c r="B9" s="16" t="s">
        <v>8</v>
      </c>
      <c r="C9" s="15">
        <v>155756</v>
      </c>
      <c r="D9" s="15">
        <v>412148</v>
      </c>
      <c r="E9" s="15">
        <v>70766</v>
      </c>
      <c r="F9" s="15">
        <v>538263</v>
      </c>
      <c r="G9" s="15">
        <v>129665</v>
      </c>
      <c r="H9" s="15">
        <v>206944</v>
      </c>
      <c r="I9" s="16">
        <v>18703</v>
      </c>
      <c r="J9" s="15">
        <v>82836</v>
      </c>
      <c r="K9" s="15">
        <v>13000</v>
      </c>
      <c r="L9" s="15">
        <v>51565</v>
      </c>
      <c r="M9" s="15">
        <f t="shared" si="1"/>
        <v>1679646</v>
      </c>
    </row>
    <row r="10" spans="1:13" x14ac:dyDescent="0.25">
      <c r="B10" s="26" t="s">
        <v>9</v>
      </c>
      <c r="C10" s="13">
        <v>330067</v>
      </c>
      <c r="D10" s="14">
        <v>115060</v>
      </c>
      <c r="E10" s="14">
        <v>295604</v>
      </c>
      <c r="F10" s="14">
        <v>931939</v>
      </c>
      <c r="G10" s="14">
        <v>157156</v>
      </c>
      <c r="H10" s="13">
        <v>31179</v>
      </c>
      <c r="I10" s="13">
        <v>968</v>
      </c>
      <c r="J10" s="13">
        <v>34813</v>
      </c>
      <c r="K10" s="13">
        <v>0</v>
      </c>
      <c r="L10" s="13">
        <v>0</v>
      </c>
      <c r="M10" s="14">
        <f t="shared" si="1"/>
        <v>1896786</v>
      </c>
    </row>
    <row r="11" spans="1:13" x14ac:dyDescent="0.25">
      <c r="B11" s="16" t="s">
        <v>49</v>
      </c>
      <c r="C11" s="15">
        <v>872868</v>
      </c>
      <c r="D11" s="15">
        <v>862419</v>
      </c>
      <c r="E11" s="15">
        <v>324176</v>
      </c>
      <c r="F11" s="15">
        <v>732016</v>
      </c>
      <c r="G11" s="15">
        <v>652022</v>
      </c>
      <c r="H11" s="15">
        <v>50650</v>
      </c>
      <c r="I11" s="16">
        <v>0</v>
      </c>
      <c r="J11" s="15">
        <v>6937</v>
      </c>
      <c r="K11" s="15">
        <v>0</v>
      </c>
      <c r="L11" s="15">
        <v>320</v>
      </c>
      <c r="M11" s="15">
        <f t="shared" si="1"/>
        <v>3501408</v>
      </c>
    </row>
    <row r="12" spans="1:13" x14ac:dyDescent="0.25">
      <c r="A12" s="17" t="s">
        <v>10</v>
      </c>
      <c r="B12" s="17"/>
      <c r="C12" s="17"/>
      <c r="D12" s="18"/>
      <c r="E12" s="18"/>
      <c r="F12" s="18"/>
      <c r="G12" s="18"/>
      <c r="H12" s="18"/>
      <c r="I12" s="18"/>
      <c r="J12" s="18"/>
      <c r="K12" s="18"/>
    </row>
    <row r="13" spans="1:13" x14ac:dyDescent="0.25">
      <c r="A13" s="19" t="s">
        <v>11</v>
      </c>
      <c r="B13" s="20" t="s">
        <v>12</v>
      </c>
      <c r="C13" s="9">
        <f t="shared" ref="C13:M13" si="2">SUM(C14:C19)</f>
        <v>690538</v>
      </c>
      <c r="D13" s="9">
        <f t="shared" si="2"/>
        <v>507057</v>
      </c>
      <c r="E13" s="9">
        <f t="shared" si="2"/>
        <v>495712</v>
      </c>
      <c r="F13" s="9">
        <f t="shared" si="2"/>
        <v>524793</v>
      </c>
      <c r="G13" s="9">
        <f t="shared" si="2"/>
        <v>409759</v>
      </c>
      <c r="H13" s="9">
        <f t="shared" si="2"/>
        <v>143908</v>
      </c>
      <c r="I13" s="9">
        <f t="shared" si="2"/>
        <v>18703</v>
      </c>
      <c r="J13" s="9">
        <f t="shared" si="2"/>
        <v>74729</v>
      </c>
      <c r="K13" s="9">
        <f t="shared" si="2"/>
        <v>13000</v>
      </c>
      <c r="L13" s="21">
        <f t="shared" si="2"/>
        <v>22639</v>
      </c>
      <c r="M13" s="9">
        <f t="shared" si="2"/>
        <v>2900838</v>
      </c>
    </row>
    <row r="14" spans="1:13" x14ac:dyDescent="0.25">
      <c r="A14" s="22"/>
      <c r="B14" s="26" t="s">
        <v>19</v>
      </c>
      <c r="C14" s="13">
        <v>392647</v>
      </c>
      <c r="D14" s="14">
        <v>21156</v>
      </c>
      <c r="E14" s="14">
        <v>416270</v>
      </c>
      <c r="F14" s="14">
        <v>187410</v>
      </c>
      <c r="G14" s="14">
        <v>309591</v>
      </c>
      <c r="H14" s="13">
        <v>33333</v>
      </c>
      <c r="I14" s="13">
        <v>0</v>
      </c>
      <c r="J14" s="13">
        <v>50761</v>
      </c>
      <c r="K14" s="13">
        <v>3798</v>
      </c>
      <c r="L14" s="13">
        <v>4680</v>
      </c>
      <c r="M14" s="14">
        <f>SUM(C14:L14)</f>
        <v>1419646</v>
      </c>
    </row>
    <row r="15" spans="1:13" x14ac:dyDescent="0.25">
      <c r="A15" s="22"/>
      <c r="B15" s="16" t="s">
        <v>20</v>
      </c>
      <c r="C15" s="15">
        <v>257165</v>
      </c>
      <c r="D15" s="15">
        <v>322495</v>
      </c>
      <c r="E15" s="15">
        <v>45854</v>
      </c>
      <c r="F15" s="15">
        <v>0</v>
      </c>
      <c r="G15" s="15">
        <v>10141</v>
      </c>
      <c r="H15" s="15">
        <v>0</v>
      </c>
      <c r="I15" s="15">
        <v>0</v>
      </c>
      <c r="J15" s="15">
        <v>0</v>
      </c>
      <c r="K15" s="15"/>
      <c r="L15" s="15">
        <v>0</v>
      </c>
      <c r="M15" s="15">
        <f>SUM(C15:L15)</f>
        <v>635655</v>
      </c>
    </row>
    <row r="16" spans="1:13" x14ac:dyDescent="0.25">
      <c r="A16" s="22"/>
      <c r="B16" s="26" t="s">
        <v>26</v>
      </c>
      <c r="C16" s="13">
        <v>30192</v>
      </c>
      <c r="D16" s="14">
        <v>96183</v>
      </c>
      <c r="E16" s="14">
        <v>33588</v>
      </c>
      <c r="F16" s="14">
        <v>47673</v>
      </c>
      <c r="G16" s="14">
        <v>22206</v>
      </c>
      <c r="H16" s="13">
        <v>0</v>
      </c>
      <c r="I16" s="13">
        <v>0</v>
      </c>
      <c r="J16" s="13">
        <v>0</v>
      </c>
      <c r="K16" s="13"/>
      <c r="L16" s="13">
        <v>0</v>
      </c>
      <c r="M16" s="14">
        <f t="shared" ref="M16:M19" si="3">SUM(C16:L16)</f>
        <v>229842</v>
      </c>
    </row>
    <row r="17" spans="1:13" x14ac:dyDescent="0.25">
      <c r="A17" s="22"/>
      <c r="B17" s="16" t="s">
        <v>29</v>
      </c>
      <c r="C17" s="15">
        <v>10534</v>
      </c>
      <c r="D17" s="15">
        <v>67223</v>
      </c>
      <c r="E17" s="15">
        <v>0</v>
      </c>
      <c r="F17" s="15">
        <v>289710</v>
      </c>
      <c r="G17" s="15">
        <v>67821</v>
      </c>
      <c r="H17" s="15">
        <v>110575</v>
      </c>
      <c r="I17" s="15">
        <v>18703</v>
      </c>
      <c r="J17" s="15">
        <v>23968</v>
      </c>
      <c r="K17" s="15">
        <v>9202</v>
      </c>
      <c r="L17" s="15">
        <v>17959</v>
      </c>
      <c r="M17" s="15">
        <f t="shared" si="3"/>
        <v>615695</v>
      </c>
    </row>
    <row r="18" spans="1:13" x14ac:dyDescent="0.25">
      <c r="A18" s="22"/>
      <c r="B18" s="26" t="s">
        <v>31</v>
      </c>
      <c r="C18" s="13">
        <v>0</v>
      </c>
      <c r="D18" s="14">
        <v>0</v>
      </c>
      <c r="E18" s="14">
        <v>0</v>
      </c>
      <c r="F18" s="14">
        <v>0</v>
      </c>
      <c r="G18" s="14">
        <v>0</v>
      </c>
      <c r="H18" s="13">
        <v>0</v>
      </c>
      <c r="I18" s="13">
        <v>0</v>
      </c>
      <c r="J18" s="13">
        <v>0</v>
      </c>
      <c r="K18" s="13"/>
      <c r="L18" s="13">
        <v>0</v>
      </c>
      <c r="M18" s="14">
        <f t="shared" si="3"/>
        <v>0</v>
      </c>
    </row>
    <row r="19" spans="1:13" x14ac:dyDescent="0.25">
      <c r="A19" s="23"/>
      <c r="B19" s="16" t="s">
        <v>35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/>
      <c r="L19" s="15">
        <v>0</v>
      </c>
      <c r="M19" s="15">
        <f t="shared" si="3"/>
        <v>0</v>
      </c>
    </row>
    <row r="20" spans="1:13" x14ac:dyDescent="0.25">
      <c r="A20" s="24" t="s">
        <v>13</v>
      </c>
      <c r="B20" s="20" t="s">
        <v>12</v>
      </c>
      <c r="C20" s="9">
        <f>SUM(C21:C25)</f>
        <v>696427</v>
      </c>
      <c r="D20" s="9">
        <f t="shared" ref="D20:L20" si="4">SUM(D21:D25)</f>
        <v>436039</v>
      </c>
      <c r="E20" s="9">
        <f t="shared" si="4"/>
        <v>887901</v>
      </c>
      <c r="F20" s="9">
        <f t="shared" si="4"/>
        <v>1547309</v>
      </c>
      <c r="G20" s="9">
        <f t="shared" si="4"/>
        <v>626851</v>
      </c>
      <c r="H20" s="9">
        <f t="shared" si="4"/>
        <v>237580</v>
      </c>
      <c r="I20" s="9">
        <f t="shared" si="4"/>
        <v>23552</v>
      </c>
      <c r="J20" s="9">
        <f t="shared" si="4"/>
        <v>47608</v>
      </c>
      <c r="K20" s="9">
        <f t="shared" si="4"/>
        <v>0</v>
      </c>
      <c r="L20" s="9">
        <f t="shared" si="4"/>
        <v>0</v>
      </c>
      <c r="M20" s="9">
        <f t="shared" ref="C20:M20" si="5">SUM(M21:M25)</f>
        <v>4503267</v>
      </c>
    </row>
    <row r="21" spans="1:13" x14ac:dyDescent="0.25">
      <c r="A21" s="24"/>
      <c r="B21" s="26" t="s">
        <v>21</v>
      </c>
      <c r="C21" s="13">
        <v>425054</v>
      </c>
      <c r="D21" s="14">
        <v>178705</v>
      </c>
      <c r="E21" s="14">
        <v>338229</v>
      </c>
      <c r="F21" s="14">
        <v>292179</v>
      </c>
      <c r="G21" s="14">
        <v>411393</v>
      </c>
      <c r="H21" s="13">
        <v>206401</v>
      </c>
      <c r="I21" s="13">
        <v>22584</v>
      </c>
      <c r="J21" s="13">
        <v>0</v>
      </c>
      <c r="K21" s="13"/>
      <c r="L21" s="13">
        <v>0</v>
      </c>
      <c r="M21" s="14">
        <f t="shared" ref="M21:M25" si="6">SUM(C21:L21)</f>
        <v>1874545</v>
      </c>
    </row>
    <row r="22" spans="1:13" x14ac:dyDescent="0.25">
      <c r="A22" s="24"/>
      <c r="B22" s="16" t="s">
        <v>24</v>
      </c>
      <c r="C22" s="15">
        <v>271373</v>
      </c>
      <c r="D22" s="15">
        <v>221156</v>
      </c>
      <c r="E22" s="15">
        <v>530737</v>
      </c>
      <c r="F22" s="15">
        <v>1242628</v>
      </c>
      <c r="G22" s="15">
        <v>210080</v>
      </c>
      <c r="H22" s="15">
        <v>31179</v>
      </c>
      <c r="I22" s="15">
        <v>968</v>
      </c>
      <c r="J22" s="15">
        <v>47608</v>
      </c>
      <c r="K22" s="15"/>
      <c r="L22" s="15">
        <v>0</v>
      </c>
      <c r="M22" s="15">
        <f t="shared" si="6"/>
        <v>2555729</v>
      </c>
    </row>
    <row r="23" spans="1:13" x14ac:dyDescent="0.25">
      <c r="A23" s="24"/>
      <c r="B23" s="26" t="s">
        <v>30</v>
      </c>
      <c r="C23" s="13">
        <v>0</v>
      </c>
      <c r="D23" s="14">
        <v>36178</v>
      </c>
      <c r="E23" s="14">
        <v>18935</v>
      </c>
      <c r="F23" s="14">
        <v>9002</v>
      </c>
      <c r="G23" s="14">
        <v>5378</v>
      </c>
      <c r="H23" s="13">
        <v>0</v>
      </c>
      <c r="I23" s="13">
        <v>0</v>
      </c>
      <c r="J23" s="13">
        <v>0</v>
      </c>
      <c r="K23" s="13"/>
      <c r="L23" s="13">
        <v>0</v>
      </c>
      <c r="M23" s="14">
        <f t="shared" si="6"/>
        <v>69493</v>
      </c>
    </row>
    <row r="24" spans="1:13" x14ac:dyDescent="0.25">
      <c r="A24" s="24"/>
      <c r="B24" s="16" t="s">
        <v>18</v>
      </c>
      <c r="C24" s="15">
        <v>0</v>
      </c>
      <c r="D24" s="15">
        <v>0</v>
      </c>
      <c r="E24" s="15">
        <v>0</v>
      </c>
      <c r="F24" s="15">
        <v>3500</v>
      </c>
      <c r="G24" s="15">
        <v>0</v>
      </c>
      <c r="H24" s="15">
        <v>0</v>
      </c>
      <c r="I24" s="15">
        <v>0</v>
      </c>
      <c r="J24" s="15">
        <v>0</v>
      </c>
      <c r="K24" s="15"/>
      <c r="L24" s="15">
        <v>0</v>
      </c>
      <c r="M24" s="15">
        <f t="shared" si="6"/>
        <v>3500</v>
      </c>
    </row>
    <row r="25" spans="1:13" x14ac:dyDescent="0.25">
      <c r="A25" s="24"/>
      <c r="B25" s="26" t="s">
        <v>37</v>
      </c>
      <c r="C25" s="13">
        <v>0</v>
      </c>
      <c r="D25" s="14">
        <v>0</v>
      </c>
      <c r="E25" s="14">
        <v>0</v>
      </c>
      <c r="F25" s="14">
        <v>0</v>
      </c>
      <c r="G25" s="14">
        <v>0</v>
      </c>
      <c r="H25" s="13">
        <v>0</v>
      </c>
      <c r="I25" s="13">
        <v>0</v>
      </c>
      <c r="J25" s="13">
        <v>0</v>
      </c>
      <c r="K25" s="13"/>
      <c r="L25" s="13">
        <v>0</v>
      </c>
      <c r="M25" s="14">
        <f t="shared" si="6"/>
        <v>0</v>
      </c>
    </row>
    <row r="26" spans="1:13" x14ac:dyDescent="0.25">
      <c r="A26" s="25" t="s">
        <v>14</v>
      </c>
      <c r="B26" s="20" t="s">
        <v>12</v>
      </c>
      <c r="C26" s="9">
        <f>SUM(C27:C39)</f>
        <v>738127</v>
      </c>
      <c r="D26" s="9">
        <f t="shared" ref="D26:L26" si="7">SUM(D27:D39)</f>
        <v>1546581</v>
      </c>
      <c r="E26" s="9">
        <f t="shared" si="7"/>
        <v>228424</v>
      </c>
      <c r="F26" s="9">
        <f t="shared" si="7"/>
        <v>1295056</v>
      </c>
      <c r="G26" s="9">
        <f t="shared" si="7"/>
        <v>570708</v>
      </c>
      <c r="H26" s="9">
        <f t="shared" si="7"/>
        <v>217086</v>
      </c>
      <c r="I26" s="9">
        <f t="shared" si="7"/>
        <v>31625</v>
      </c>
      <c r="J26" s="9">
        <f t="shared" si="7"/>
        <v>51655</v>
      </c>
      <c r="K26" s="9">
        <f t="shared" si="7"/>
        <v>0</v>
      </c>
      <c r="L26" s="9">
        <f t="shared" si="7"/>
        <v>68762</v>
      </c>
      <c r="M26" s="9">
        <f t="shared" ref="C26:M26" si="8">SUM(M27:M39)</f>
        <v>4748024</v>
      </c>
    </row>
    <row r="27" spans="1:13" x14ac:dyDescent="0.25">
      <c r="A27" s="25"/>
      <c r="B27" s="26" t="s">
        <v>32</v>
      </c>
      <c r="C27" s="13">
        <v>3421</v>
      </c>
      <c r="D27" s="14">
        <v>0</v>
      </c>
      <c r="E27" s="14">
        <v>0</v>
      </c>
      <c r="F27" s="14">
        <v>0</v>
      </c>
      <c r="G27" s="14">
        <v>0</v>
      </c>
      <c r="H27" s="13">
        <v>0</v>
      </c>
      <c r="I27" s="13">
        <v>0</v>
      </c>
      <c r="J27" s="13">
        <v>0</v>
      </c>
      <c r="K27" s="13"/>
      <c r="L27" s="13">
        <v>0</v>
      </c>
      <c r="M27" s="14">
        <f t="shared" ref="M27:M39" si="9">SUM(C27:L27)</f>
        <v>3421</v>
      </c>
    </row>
    <row r="28" spans="1:13" x14ac:dyDescent="0.25">
      <c r="A28" s="25"/>
      <c r="B28" s="16" t="s">
        <v>38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/>
      <c r="L28" s="15">
        <v>0</v>
      </c>
      <c r="M28" s="15">
        <f t="shared" si="9"/>
        <v>0</v>
      </c>
    </row>
    <row r="29" spans="1:13" x14ac:dyDescent="0.25">
      <c r="A29" s="25"/>
      <c r="B29" s="26" t="s">
        <v>22</v>
      </c>
      <c r="C29" s="13">
        <v>22461</v>
      </c>
      <c r="D29" s="14">
        <v>0</v>
      </c>
      <c r="E29" s="14">
        <v>47050</v>
      </c>
      <c r="F29" s="14">
        <v>33778</v>
      </c>
      <c r="G29" s="14">
        <v>2280</v>
      </c>
      <c r="H29" s="13">
        <v>0</v>
      </c>
      <c r="I29" s="13">
        <v>0</v>
      </c>
      <c r="J29" s="13">
        <v>0</v>
      </c>
      <c r="K29" s="13"/>
      <c r="L29" s="13">
        <v>0</v>
      </c>
      <c r="M29" s="14">
        <f t="shared" si="9"/>
        <v>105569</v>
      </c>
    </row>
    <row r="30" spans="1:13" x14ac:dyDescent="0.25">
      <c r="A30" s="25"/>
      <c r="B30" s="16" t="s">
        <v>23</v>
      </c>
      <c r="C30" s="15">
        <v>228523</v>
      </c>
      <c r="D30" s="15">
        <v>4922</v>
      </c>
      <c r="E30" s="15">
        <v>0</v>
      </c>
      <c r="F30" s="15">
        <v>135834</v>
      </c>
      <c r="G30" s="15">
        <v>442574</v>
      </c>
      <c r="H30" s="15">
        <v>0</v>
      </c>
      <c r="I30" s="15">
        <v>0</v>
      </c>
      <c r="J30" s="15">
        <v>0</v>
      </c>
      <c r="K30" s="15"/>
      <c r="L30" s="15">
        <v>0</v>
      </c>
      <c r="M30" s="15">
        <f t="shared" si="9"/>
        <v>811853</v>
      </c>
    </row>
    <row r="31" spans="1:13" x14ac:dyDescent="0.25">
      <c r="A31" s="25"/>
      <c r="B31" s="26" t="s">
        <v>25</v>
      </c>
      <c r="C31" s="13">
        <v>63836</v>
      </c>
      <c r="D31" s="14">
        <v>8985</v>
      </c>
      <c r="E31" s="14">
        <v>1764</v>
      </c>
      <c r="F31" s="14">
        <v>44461</v>
      </c>
      <c r="G31" s="14">
        <v>10193</v>
      </c>
      <c r="H31" s="13">
        <v>0</v>
      </c>
      <c r="I31" s="13">
        <v>31625</v>
      </c>
      <c r="J31" s="13">
        <v>0</v>
      </c>
      <c r="K31" s="13"/>
      <c r="L31" s="13">
        <v>0</v>
      </c>
      <c r="M31" s="14">
        <f t="shared" si="9"/>
        <v>160864</v>
      </c>
    </row>
    <row r="32" spans="1:13" x14ac:dyDescent="0.25">
      <c r="A32" s="25"/>
      <c r="B32" s="16" t="s">
        <v>15</v>
      </c>
      <c r="C32" s="15">
        <v>72522</v>
      </c>
      <c r="D32" s="15">
        <v>2500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/>
      <c r="L32" s="15">
        <v>0</v>
      </c>
      <c r="M32" s="15">
        <f t="shared" si="9"/>
        <v>75022</v>
      </c>
    </row>
    <row r="33" spans="1:13" x14ac:dyDescent="0.25">
      <c r="A33" s="25"/>
      <c r="B33" s="26" t="s">
        <v>16</v>
      </c>
      <c r="C33" s="13">
        <v>169424</v>
      </c>
      <c r="D33" s="14">
        <v>0</v>
      </c>
      <c r="E33" s="14">
        <v>0</v>
      </c>
      <c r="F33" s="14">
        <v>144036</v>
      </c>
      <c r="G33" s="14">
        <v>0</v>
      </c>
      <c r="H33" s="13">
        <v>6630</v>
      </c>
      <c r="I33" s="13">
        <v>0</v>
      </c>
      <c r="J33" s="13">
        <v>0</v>
      </c>
      <c r="K33" s="13"/>
      <c r="L33" s="13">
        <v>0</v>
      </c>
      <c r="M33" s="14">
        <f t="shared" si="9"/>
        <v>320090</v>
      </c>
    </row>
    <row r="34" spans="1:13" x14ac:dyDescent="0.25">
      <c r="A34" s="25"/>
      <c r="B34" s="16" t="s">
        <v>27</v>
      </c>
      <c r="C34" s="15">
        <v>41059</v>
      </c>
      <c r="D34" s="15">
        <v>49721</v>
      </c>
      <c r="E34" s="15">
        <v>14864</v>
      </c>
      <c r="F34" s="15">
        <v>14144</v>
      </c>
      <c r="G34" s="15">
        <v>2104</v>
      </c>
      <c r="H34" s="15">
        <v>0</v>
      </c>
      <c r="I34" s="15">
        <v>0</v>
      </c>
      <c r="J34" s="15">
        <v>0</v>
      </c>
      <c r="K34" s="15"/>
      <c r="L34" s="15">
        <v>0</v>
      </c>
      <c r="M34" s="15">
        <f t="shared" si="9"/>
        <v>121892</v>
      </c>
    </row>
    <row r="35" spans="1:13" x14ac:dyDescent="0.25">
      <c r="A35" s="25"/>
      <c r="B35" s="26" t="s">
        <v>17</v>
      </c>
      <c r="C35" s="13">
        <v>65089</v>
      </c>
      <c r="D35" s="14">
        <v>1377674</v>
      </c>
      <c r="E35" s="14">
        <v>0</v>
      </c>
      <c r="F35" s="14">
        <v>843908</v>
      </c>
      <c r="G35" s="14">
        <v>0</v>
      </c>
      <c r="H35" s="13">
        <v>189308</v>
      </c>
      <c r="I35" s="13">
        <v>0</v>
      </c>
      <c r="J35" s="13">
        <v>51655</v>
      </c>
      <c r="K35" s="13"/>
      <c r="L35" s="13">
        <v>68762</v>
      </c>
      <c r="M35" s="14">
        <f t="shared" si="9"/>
        <v>2596396</v>
      </c>
    </row>
    <row r="36" spans="1:13" x14ac:dyDescent="0.25">
      <c r="A36" s="25"/>
      <c r="B36" s="16" t="s">
        <v>28</v>
      </c>
      <c r="C36" s="15">
        <v>66617</v>
      </c>
      <c r="D36" s="15">
        <v>102779</v>
      </c>
      <c r="E36" s="15">
        <v>722</v>
      </c>
      <c r="F36" s="15">
        <v>16574</v>
      </c>
      <c r="G36" s="15">
        <v>22929</v>
      </c>
      <c r="H36" s="15">
        <v>21148</v>
      </c>
      <c r="I36" s="15">
        <v>0</v>
      </c>
      <c r="J36" s="15">
        <v>0</v>
      </c>
      <c r="K36" s="15"/>
      <c r="L36" s="15">
        <v>0</v>
      </c>
      <c r="M36" s="15">
        <f t="shared" si="9"/>
        <v>230769</v>
      </c>
    </row>
    <row r="37" spans="1:13" x14ac:dyDescent="0.25">
      <c r="A37" s="25"/>
      <c r="B37" s="26" t="s">
        <v>33</v>
      </c>
      <c r="C37" s="13">
        <v>5175</v>
      </c>
      <c r="D37" s="14">
        <v>0</v>
      </c>
      <c r="E37" s="14">
        <v>136365</v>
      </c>
      <c r="F37" s="14">
        <v>62321</v>
      </c>
      <c r="G37" s="14">
        <v>90628</v>
      </c>
      <c r="H37" s="13">
        <v>0</v>
      </c>
      <c r="I37" s="13">
        <v>0</v>
      </c>
      <c r="J37" s="13">
        <v>0</v>
      </c>
      <c r="K37" s="13"/>
      <c r="L37" s="13">
        <v>0</v>
      </c>
      <c r="M37" s="14">
        <f t="shared" si="9"/>
        <v>294489</v>
      </c>
    </row>
    <row r="38" spans="1:13" x14ac:dyDescent="0.25">
      <c r="A38" s="25"/>
      <c r="B38" s="16" t="s">
        <v>34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/>
      <c r="L38" s="15">
        <v>0</v>
      </c>
      <c r="M38" s="15">
        <f t="shared" si="9"/>
        <v>0</v>
      </c>
    </row>
    <row r="39" spans="1:13" x14ac:dyDescent="0.25">
      <c r="A39" s="25"/>
      <c r="B39" s="26" t="s">
        <v>36</v>
      </c>
      <c r="C39" s="13">
        <v>0</v>
      </c>
      <c r="D39" s="14">
        <v>0</v>
      </c>
      <c r="E39" s="14">
        <v>27659</v>
      </c>
      <c r="F39" s="14">
        <v>0</v>
      </c>
      <c r="G39" s="14">
        <v>0</v>
      </c>
      <c r="H39" s="13">
        <v>0</v>
      </c>
      <c r="I39" s="13">
        <v>0</v>
      </c>
      <c r="J39" s="13">
        <v>0</v>
      </c>
      <c r="K39" s="13"/>
      <c r="L39" s="13">
        <v>0</v>
      </c>
      <c r="M39" s="14">
        <f t="shared" si="9"/>
        <v>27659</v>
      </c>
    </row>
    <row r="40" spans="1:13" x14ac:dyDescent="0.25">
      <c r="A40" s="26"/>
      <c r="B40" s="26"/>
      <c r="C40" s="27">
        <f t="shared" ref="C40:M40" si="10">SUM(C13,C20,C26)</f>
        <v>2125092</v>
      </c>
      <c r="D40" s="27">
        <f t="shared" si="10"/>
        <v>2489677</v>
      </c>
      <c r="E40" s="27">
        <f t="shared" si="10"/>
        <v>1612037</v>
      </c>
      <c r="F40" s="27">
        <f t="shared" si="10"/>
        <v>3367158</v>
      </c>
      <c r="G40" s="27">
        <f t="shared" si="10"/>
        <v>1607318</v>
      </c>
      <c r="H40" s="27">
        <f t="shared" si="10"/>
        <v>598574</v>
      </c>
      <c r="I40" s="27">
        <f t="shared" si="10"/>
        <v>73880</v>
      </c>
      <c r="J40" s="27">
        <f t="shared" si="10"/>
        <v>173992</v>
      </c>
      <c r="K40" s="27">
        <f t="shared" si="10"/>
        <v>13000</v>
      </c>
      <c r="L40" s="27">
        <f t="shared" si="10"/>
        <v>91401</v>
      </c>
      <c r="M40" s="27">
        <f t="shared" si="10"/>
        <v>12152129</v>
      </c>
    </row>
  </sheetData>
  <mergeCells count="9">
    <mergeCell ref="A26:A39"/>
    <mergeCell ref="B3:B4"/>
    <mergeCell ref="M3:M4"/>
    <mergeCell ref="A13:A19"/>
    <mergeCell ref="B1:L1"/>
    <mergeCell ref="D3:G3"/>
    <mergeCell ref="H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H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2024-09-01T08:44:29Z</cp:lastPrinted>
  <dcterms:created xsi:type="dcterms:W3CDTF">2015-06-05T18:17:20Z</dcterms:created>
  <dcterms:modified xsi:type="dcterms:W3CDTF">2024-09-01T08:48:47Z</dcterms:modified>
</cp:coreProperties>
</file>