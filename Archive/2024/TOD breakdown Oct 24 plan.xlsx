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0ED6D335-5942-47BC-8695-5FD835297BB2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Sheet1!$B$3:$M$39</definedName>
    <definedName name="_xlnm.Print_Area" localSheetId="0">Sheet1!$A$1:$M$39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D20" i="3"/>
  <c r="E20" i="3"/>
  <c r="F20" i="3"/>
  <c r="G20" i="3"/>
  <c r="H20" i="3"/>
  <c r="I20" i="3"/>
  <c r="J20" i="3"/>
  <c r="K20" i="3"/>
  <c r="L20" i="3"/>
  <c r="C26" i="3"/>
  <c r="D26" i="3"/>
  <c r="E26" i="3"/>
  <c r="F26" i="3"/>
  <c r="G26" i="3"/>
  <c r="H26" i="3"/>
  <c r="I26" i="3"/>
  <c r="J26" i="3"/>
  <c r="K26" i="3"/>
  <c r="L26" i="3"/>
  <c r="M15" i="3"/>
  <c r="M19" i="3"/>
  <c r="M24" i="3"/>
  <c r="M35" i="3"/>
  <c r="M23" i="3"/>
  <c r="M28" i="3"/>
  <c r="M31" i="3"/>
  <c r="M16" i="3"/>
  <c r="M8" i="3"/>
  <c r="M11" i="3"/>
  <c r="M7" i="3"/>
  <c r="L2" i="3"/>
  <c r="K13" i="3" l="1"/>
  <c r="M32" i="3"/>
  <c r="L13" i="3"/>
  <c r="L39" i="3" s="1"/>
  <c r="J13" i="3"/>
  <c r="J39" i="3" s="1"/>
  <c r="I13" i="3"/>
  <c r="I39" i="3" s="1"/>
  <c r="H13" i="3"/>
  <c r="H39" i="3" s="1"/>
  <c r="M29" i="3"/>
  <c r="M36" i="3"/>
  <c r="M17" i="3"/>
  <c r="M37" i="3"/>
  <c r="M33" i="3"/>
  <c r="M22" i="3"/>
  <c r="L4" i="3"/>
  <c r="K4" i="3"/>
  <c r="J4" i="3"/>
  <c r="I4" i="3"/>
  <c r="H4" i="3"/>
  <c r="M9" i="3"/>
  <c r="G4" i="3"/>
  <c r="F4" i="3"/>
  <c r="E4" i="3"/>
  <c r="M10" i="3"/>
  <c r="D4" i="3"/>
  <c r="M6" i="3"/>
  <c r="C4" i="3"/>
  <c r="C3" i="3" s="1"/>
  <c r="C13" i="3"/>
  <c r="D13" i="3"/>
  <c r="M34" i="3"/>
  <c r="M30" i="3"/>
  <c r="M38" i="3"/>
  <c r="M25" i="3"/>
  <c r="E13" i="3"/>
  <c r="E39" i="3" s="1"/>
  <c r="M27" i="3"/>
  <c r="M21" i="3"/>
  <c r="F13" i="3"/>
  <c r="M18" i="3"/>
  <c r="M14" i="3"/>
  <c r="G13" i="3"/>
  <c r="K39" i="3"/>
  <c r="M20" i="3" l="1"/>
  <c r="H3" i="3"/>
  <c r="D3" i="3"/>
  <c r="M3" i="3"/>
  <c r="C39" i="3"/>
  <c r="D39" i="3"/>
  <c r="M26" i="3"/>
  <c r="M13" i="3"/>
  <c r="F39" i="3"/>
  <c r="G39" i="3"/>
  <c r="M39" i="3" l="1"/>
</calcChain>
</file>

<file path=xl/sharedStrings.xml><?xml version="1.0" encoding="utf-8"?>
<sst xmlns="http://schemas.openxmlformats.org/spreadsheetml/2006/main" count="53" uniqueCount="50">
  <si>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</si>
  <si>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</si>
  <si>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</si>
  <si>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</si>
  <si>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</si>
  <si>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</si>
  <si>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</si>
  <si>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</si>
  <si>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</si>
  <si>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</si>
  <si>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</si>
  <si>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</si>
  <si>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</si>
  <si>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</si>
  <si>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</si>
  <si>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</si>
  <si>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</si>
  <si>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</si>
  <si>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</si>
  <si>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</si>
  <si>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</si>
  <si>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</si>
  <si>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</si>
  <si>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</si>
  <si>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</si>
  <si>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</si>
  <si>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</si>
  <si>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</si>
  <si>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</si>
  <si>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</si>
  <si>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</si>
  <si>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</si>
  <si>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</si>
  <si>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</si>
  <si>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</si>
  <si>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</si>
  <si>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</si>
  <si>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</si>
  <si>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JKL2</t>
  </si>
  <si>
    <t>Oct-24 Sewing Plan analysis</t>
  </si>
  <si>
    <t>Before Oct</t>
  </si>
  <si>
    <t>1-7/Oct</t>
  </si>
  <si>
    <t>8-15/Oct</t>
  </si>
  <si>
    <t>16-23/Oct</t>
  </si>
  <si>
    <t>24-31/Oct</t>
  </si>
  <si>
    <t>1-5/Nov</t>
  </si>
  <si>
    <t>6-10/Nov</t>
  </si>
  <si>
    <t>11-20/Nov</t>
  </si>
  <si>
    <t>21-30/Nov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</si>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</sst>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65" fontId="3" fillId="0" borderId="0" xfId="0" applyNumberFormat="1" applyFont="1"/>
    <xf numFmtId="3" fontId="4" fillId="3" borderId="2" xfId="0" applyNumberFormat="1" applyFont="1" applyFill="1" applyBorder="1"/>
    <xf numFmtId="3" fontId="3" fillId="2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1" fillId="0" borderId="2" xfId="0" applyFont="1" applyBorder="1"/>
    <xf numFmtId="164" fontId="3" fillId="2" borderId="2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39"/>
  <sheetViews>
    <sheetView tabSelected="1" topLeftCell="B1" zoomScaleNormal="100" workbookViewId="0">
      <selection activeCell="B1" sqref="B1:L1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7" width="12.140625" style="1" customWidth="1"/>
    <col min="8" max="8" width="13.28515625" style="1" customWidth="1"/>
    <col min="9" max="9" width="11.42578125" style="1" customWidth="1"/>
    <col min="10" max="10" width="11" style="1" customWidth="1"/>
    <col min="11" max="11" width="13" style="1" customWidth="1"/>
    <col min="12" max="12" width="13.28515625" style="1" customWidth="1"/>
    <col min="13" max="13" width="16.42578125" style="1" customWidth="1"/>
    <col min="14" max="16384" width="9.140625" style="1"/>
  </cols>
  <sheetData>
    <row r="1" spans="1:13" ht="20.25" x14ac:dyDescent="0.3">
      <c r="B1" s="24" t="s">
        <v>39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x14ac:dyDescent="0.25">
      <c r="A2" s="2" t="s">
        <v>0</v>
      </c>
      <c r="L2" s="3">
        <f ca="1">TODAY()</f>
        <v>45566</v>
      </c>
    </row>
    <row r="3" spans="1:13" ht="15.75" x14ac:dyDescent="0.25">
      <c r="B3" s="19" t="s">
        <v>1</v>
      </c>
      <c r="C3" s="4">
        <f>C4</f>
        <v>2951137</v>
      </c>
      <c r="D3" s="25">
        <f>SUM(D4:G4)</f>
        <v>10815875</v>
      </c>
      <c r="E3" s="25"/>
      <c r="F3" s="25"/>
      <c r="G3" s="25"/>
      <c r="H3" s="25">
        <f>SUM(H4:L4)</f>
        <v>492336</v>
      </c>
      <c r="I3" s="25"/>
      <c r="J3" s="25"/>
      <c r="K3" s="25"/>
      <c r="L3" s="25"/>
      <c r="M3" s="20">
        <f>SUM(M6:M11)</f>
        <v>14259348</v>
      </c>
    </row>
    <row r="4" spans="1:13" x14ac:dyDescent="0.25">
      <c r="B4" s="19"/>
      <c r="C4" s="5">
        <f>SUM(C6:C11)</f>
        <v>2951137</v>
      </c>
      <c r="D4" s="5">
        <f t="shared" ref="D4:H4" si="0">SUM(D6:D11)</f>
        <v>2802906</v>
      </c>
      <c r="E4" s="5">
        <f t="shared" si="0"/>
        <v>2550498</v>
      </c>
      <c r="F4" s="5">
        <f t="shared" si="0"/>
        <v>2220754</v>
      </c>
      <c r="G4" s="5">
        <f t="shared" si="0"/>
        <v>3241717</v>
      </c>
      <c r="H4" s="5">
        <f t="shared" si="0"/>
        <v>276703</v>
      </c>
      <c r="I4" s="5">
        <f>SUM(I6:I11)</f>
        <v>27256</v>
      </c>
      <c r="J4" s="5">
        <f>SUM(J6:J11)</f>
        <v>116850</v>
      </c>
      <c r="K4" s="5">
        <f>SUM(K6:K11)</f>
        <v>19805</v>
      </c>
      <c r="L4" s="5">
        <f>SUM(L6:L11)</f>
        <v>51722</v>
      </c>
      <c r="M4" s="20"/>
    </row>
    <row r="5" spans="1:13" ht="15.75" customHeight="1" x14ac:dyDescent="0.25">
      <c r="B5" s="6" t="s">
        <v>2</v>
      </c>
      <c r="C5" s="7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3</v>
      </c>
      <c r="M5" s="6" t="s">
        <v>4</v>
      </c>
    </row>
    <row r="6" spans="1:13" x14ac:dyDescent="0.25">
      <c r="B6" s="16" t="s">
        <v>5</v>
      </c>
      <c r="C6" s="9">
        <v>215178</v>
      </c>
      <c r="D6" s="10">
        <v>446720</v>
      </c>
      <c r="E6" s="10">
        <v>415144</v>
      </c>
      <c r="F6" s="10">
        <v>552109</v>
      </c>
      <c r="G6" s="10">
        <v>810259</v>
      </c>
      <c r="H6" s="9">
        <v>11596</v>
      </c>
      <c r="I6" s="9">
        <v>17424</v>
      </c>
      <c r="J6" s="9">
        <v>10908</v>
      </c>
      <c r="K6" s="9">
        <v>7268</v>
      </c>
      <c r="L6" s="9">
        <v>7716</v>
      </c>
      <c r="M6" s="10">
        <f t="shared" ref="M6:M11" si="1">SUM(C6:L6)</f>
        <v>2494322</v>
      </c>
    </row>
    <row r="7" spans="1:13" x14ac:dyDescent="0.25">
      <c r="B7" s="12" t="s">
        <v>6</v>
      </c>
      <c r="C7" s="11">
        <v>346041</v>
      </c>
      <c r="D7" s="11">
        <v>558868</v>
      </c>
      <c r="E7" s="11">
        <v>519119</v>
      </c>
      <c r="F7" s="11">
        <v>126333</v>
      </c>
      <c r="G7" s="11">
        <v>301239</v>
      </c>
      <c r="H7" s="11">
        <v>26031</v>
      </c>
      <c r="I7" s="12"/>
      <c r="J7" s="11"/>
      <c r="K7" s="11"/>
      <c r="L7" s="11"/>
      <c r="M7" s="11">
        <f t="shared" si="1"/>
        <v>1877631</v>
      </c>
    </row>
    <row r="8" spans="1:13" x14ac:dyDescent="0.25">
      <c r="B8" s="16" t="s">
        <v>7</v>
      </c>
      <c r="C8" s="9">
        <v>586939</v>
      </c>
      <c r="D8" s="10">
        <v>480347</v>
      </c>
      <c r="E8" s="10">
        <v>378559</v>
      </c>
      <c r="F8" s="10">
        <v>205968</v>
      </c>
      <c r="G8" s="10">
        <v>21353</v>
      </c>
      <c r="H8" s="9">
        <v>27008</v>
      </c>
      <c r="I8" s="9">
        <v>9832</v>
      </c>
      <c r="J8" s="9">
        <v>5938</v>
      </c>
      <c r="K8" s="9"/>
      <c r="L8" s="9">
        <v>2966</v>
      </c>
      <c r="M8" s="10">
        <f t="shared" si="1"/>
        <v>1718910</v>
      </c>
    </row>
    <row r="9" spans="1:13" x14ac:dyDescent="0.25">
      <c r="B9" s="12" t="s">
        <v>8</v>
      </c>
      <c r="C9" s="11">
        <v>302654</v>
      </c>
      <c r="D9" s="11">
        <v>402319</v>
      </c>
      <c r="E9" s="11">
        <v>185686</v>
      </c>
      <c r="F9" s="11">
        <v>507545</v>
      </c>
      <c r="G9" s="11">
        <v>23195</v>
      </c>
      <c r="H9" s="11">
        <v>122232</v>
      </c>
      <c r="I9" s="12"/>
      <c r="J9" s="11">
        <v>80779</v>
      </c>
      <c r="K9" s="11">
        <v>8085</v>
      </c>
      <c r="L9" s="11">
        <v>25727</v>
      </c>
      <c r="M9" s="11">
        <f t="shared" si="1"/>
        <v>1658222</v>
      </c>
    </row>
    <row r="10" spans="1:13" x14ac:dyDescent="0.25">
      <c r="B10" s="16" t="s">
        <v>9</v>
      </c>
      <c r="C10" s="9">
        <v>251637</v>
      </c>
      <c r="D10" s="10">
        <v>339661</v>
      </c>
      <c r="E10" s="10">
        <v>692736</v>
      </c>
      <c r="F10" s="10">
        <v>212139</v>
      </c>
      <c r="G10" s="10">
        <v>1144879</v>
      </c>
      <c r="H10" s="9">
        <v>17911</v>
      </c>
      <c r="I10" s="9"/>
      <c r="J10" s="9">
        <v>353</v>
      </c>
      <c r="K10" s="9"/>
      <c r="L10" s="9"/>
      <c r="M10" s="10">
        <f t="shared" si="1"/>
        <v>2659316</v>
      </c>
    </row>
    <row r="11" spans="1:13" x14ac:dyDescent="0.25">
      <c r="B11" s="12" t="s">
        <v>38</v>
      </c>
      <c r="C11" s="11">
        <v>1248688</v>
      </c>
      <c r="D11" s="11">
        <v>574991</v>
      </c>
      <c r="E11" s="11">
        <v>359254</v>
      </c>
      <c r="F11" s="11">
        <v>616660</v>
      </c>
      <c r="G11" s="11">
        <v>940792</v>
      </c>
      <c r="H11" s="11">
        <v>71925</v>
      </c>
      <c r="I11" s="12"/>
      <c r="J11" s="11">
        <v>18872</v>
      </c>
      <c r="K11" s="11">
        <v>4452</v>
      </c>
      <c r="L11" s="11">
        <v>15313</v>
      </c>
      <c r="M11" s="11">
        <f t="shared" si="1"/>
        <v>3850947</v>
      </c>
    </row>
    <row r="12" spans="1:13" x14ac:dyDescent="0.25">
      <c r="A12" s="26" t="s">
        <v>10</v>
      </c>
      <c r="B12" s="26"/>
      <c r="C12" s="26"/>
      <c r="D12" s="13"/>
      <c r="E12" s="13"/>
      <c r="F12" s="13"/>
      <c r="G12" s="13"/>
      <c r="H12" s="13"/>
      <c r="I12" s="13"/>
      <c r="J12" s="13"/>
      <c r="K12" s="13"/>
    </row>
    <row r="13" spans="1:13" x14ac:dyDescent="0.25">
      <c r="A13" s="21" t="s">
        <v>11</v>
      </c>
      <c r="B13" s="14" t="s">
        <v>12</v>
      </c>
      <c r="C13" s="5">
        <f t="shared" ref="C13:M13" si="2">SUM(C14:C19)</f>
        <v>546240</v>
      </c>
      <c r="D13" s="5">
        <f t="shared" si="2"/>
        <v>897433</v>
      </c>
      <c r="E13" s="5">
        <f t="shared" si="2"/>
        <v>924208</v>
      </c>
      <c r="F13" s="5">
        <f t="shared" si="2"/>
        <v>582189</v>
      </c>
      <c r="G13" s="5">
        <f t="shared" si="2"/>
        <v>423479</v>
      </c>
      <c r="H13" s="5">
        <f t="shared" si="2"/>
        <v>159786</v>
      </c>
      <c r="I13" s="5">
        <f t="shared" si="2"/>
        <v>0</v>
      </c>
      <c r="J13" s="5">
        <f t="shared" si="2"/>
        <v>38970</v>
      </c>
      <c r="K13" s="5">
        <f t="shared" si="2"/>
        <v>12537</v>
      </c>
      <c r="L13" s="15">
        <f t="shared" si="2"/>
        <v>12763</v>
      </c>
      <c r="M13" s="5">
        <f t="shared" si="2"/>
        <v>3597605</v>
      </c>
    </row>
    <row r="14" spans="1:13" x14ac:dyDescent="0.25">
      <c r="A14" s="22"/>
      <c r="B14" s="16" t="s">
        <v>19</v>
      </c>
      <c r="C14" s="9">
        <v>229305</v>
      </c>
      <c r="D14" s="10">
        <v>701262</v>
      </c>
      <c r="E14" s="10">
        <v>529256</v>
      </c>
      <c r="F14" s="10">
        <v>156719</v>
      </c>
      <c r="G14" s="10">
        <v>316617</v>
      </c>
      <c r="H14" s="9">
        <v>57136</v>
      </c>
      <c r="I14" s="9"/>
      <c r="J14" s="9">
        <v>19062</v>
      </c>
      <c r="K14" s="9">
        <v>11692</v>
      </c>
      <c r="L14" s="9">
        <v>8904</v>
      </c>
      <c r="M14" s="10">
        <f>SUM(C14:L14)</f>
        <v>2029953</v>
      </c>
    </row>
    <row r="15" spans="1:13" x14ac:dyDescent="0.25">
      <c r="A15" s="22"/>
      <c r="B15" s="12" t="s">
        <v>20</v>
      </c>
      <c r="C15" s="11">
        <v>170580</v>
      </c>
      <c r="D15" s="11">
        <v>35789</v>
      </c>
      <c r="E15" s="11">
        <v>215122</v>
      </c>
      <c r="F15" s="11">
        <v>38497</v>
      </c>
      <c r="G15" s="11">
        <v>61377</v>
      </c>
      <c r="H15" s="11">
        <v>9724</v>
      </c>
      <c r="I15" s="11"/>
      <c r="J15" s="11"/>
      <c r="K15" s="11"/>
      <c r="L15" s="11"/>
      <c r="M15" s="11">
        <f>SUM(C15:L15)</f>
        <v>531089</v>
      </c>
    </row>
    <row r="16" spans="1:13" x14ac:dyDescent="0.25">
      <c r="A16" s="22"/>
      <c r="B16" s="16" t="s">
        <v>26</v>
      </c>
      <c r="C16" s="9">
        <v>53522</v>
      </c>
      <c r="D16" s="10">
        <v>8022</v>
      </c>
      <c r="E16" s="10">
        <v>13528</v>
      </c>
      <c r="F16" s="10">
        <v>40329</v>
      </c>
      <c r="G16" s="10">
        <v>39933</v>
      </c>
      <c r="H16" s="9">
        <v>3000</v>
      </c>
      <c r="I16" s="9"/>
      <c r="J16" s="9"/>
      <c r="K16" s="9"/>
      <c r="L16" s="9"/>
      <c r="M16" s="10">
        <f t="shared" ref="M16:M19" si="3">SUM(C16:L16)</f>
        <v>158334</v>
      </c>
    </row>
    <row r="17" spans="1:13" x14ac:dyDescent="0.25">
      <c r="A17" s="22"/>
      <c r="B17" s="12" t="s">
        <v>29</v>
      </c>
      <c r="C17" s="11">
        <v>92833</v>
      </c>
      <c r="D17" s="11">
        <v>152360</v>
      </c>
      <c r="E17" s="11">
        <v>166302</v>
      </c>
      <c r="F17" s="11">
        <v>346644</v>
      </c>
      <c r="G17" s="11">
        <v>5552</v>
      </c>
      <c r="H17" s="11">
        <v>89926</v>
      </c>
      <c r="I17" s="11"/>
      <c r="J17" s="11">
        <v>19908</v>
      </c>
      <c r="K17" s="11">
        <v>845</v>
      </c>
      <c r="L17" s="11">
        <v>3859</v>
      </c>
      <c r="M17" s="11">
        <f t="shared" si="3"/>
        <v>878229</v>
      </c>
    </row>
    <row r="18" spans="1:13" x14ac:dyDescent="0.25">
      <c r="A18" s="22"/>
      <c r="B18" s="16" t="s">
        <v>31</v>
      </c>
      <c r="C18" s="9"/>
      <c r="D18" s="10"/>
      <c r="E18" s="10"/>
      <c r="F18" s="10"/>
      <c r="G18" s="10"/>
      <c r="H18" s="9"/>
      <c r="I18" s="9"/>
      <c r="J18" s="9"/>
      <c r="K18" s="9"/>
      <c r="L18" s="9"/>
      <c r="M18" s="10">
        <f t="shared" si="3"/>
        <v>0</v>
      </c>
    </row>
    <row r="19" spans="1:13" x14ac:dyDescent="0.25">
      <c r="A19" s="23"/>
      <c r="B19" s="12" t="s">
        <v>35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>
        <f t="shared" si="3"/>
        <v>0</v>
      </c>
    </row>
    <row r="20" spans="1:13" ht="15" customHeight="1" x14ac:dyDescent="0.25">
      <c r="A20" s="27" t="s">
        <v>13</v>
      </c>
      <c r="B20" s="14" t="s">
        <v>12</v>
      </c>
      <c r="C20" s="5">
        <f>SUM(C21:C25)</f>
        <v>611362</v>
      </c>
      <c r="D20" s="5">
        <f t="shared" ref="D20:L20" si="4">SUM(D21:D25)</f>
        <v>716435</v>
      </c>
      <c r="E20" s="5">
        <f t="shared" si="4"/>
        <v>1234775</v>
      </c>
      <c r="F20" s="5">
        <f t="shared" si="4"/>
        <v>871830</v>
      </c>
      <c r="G20" s="5">
        <f t="shared" si="4"/>
        <v>2750516</v>
      </c>
      <c r="H20" s="5">
        <f t="shared" si="4"/>
        <v>20340</v>
      </c>
      <c r="I20" s="5">
        <f t="shared" si="4"/>
        <v>17424</v>
      </c>
      <c r="J20" s="5">
        <f t="shared" si="4"/>
        <v>6355</v>
      </c>
      <c r="K20" s="5">
        <f t="shared" si="4"/>
        <v>7268</v>
      </c>
      <c r="L20" s="5">
        <f t="shared" si="4"/>
        <v>0</v>
      </c>
      <c r="M20" s="5">
        <f t="shared" ref="M20" si="5">SUM(M21:M25)</f>
        <v>6236305</v>
      </c>
    </row>
    <row r="21" spans="1:13" x14ac:dyDescent="0.25">
      <c r="A21" s="28"/>
      <c r="B21" s="16" t="s">
        <v>21</v>
      </c>
      <c r="C21" s="9">
        <v>287321</v>
      </c>
      <c r="D21" s="10">
        <v>329091</v>
      </c>
      <c r="E21" s="10">
        <v>569562</v>
      </c>
      <c r="F21" s="10">
        <v>546768</v>
      </c>
      <c r="G21" s="10">
        <v>1279258</v>
      </c>
      <c r="H21" s="9"/>
      <c r="I21" s="9">
        <v>17273</v>
      </c>
      <c r="J21" s="9">
        <v>6002</v>
      </c>
      <c r="K21" s="9">
        <v>7268</v>
      </c>
      <c r="L21" s="9"/>
      <c r="M21" s="10">
        <f t="shared" ref="M21:M25" si="6">SUM(C21:L21)</f>
        <v>3042543</v>
      </c>
    </row>
    <row r="22" spans="1:13" x14ac:dyDescent="0.25">
      <c r="A22" s="28"/>
      <c r="B22" s="12" t="s">
        <v>24</v>
      </c>
      <c r="C22" s="11">
        <v>294182</v>
      </c>
      <c r="D22" s="11">
        <v>368177</v>
      </c>
      <c r="E22" s="11">
        <v>640495</v>
      </c>
      <c r="F22" s="11">
        <v>321563</v>
      </c>
      <c r="G22" s="11">
        <v>1465706</v>
      </c>
      <c r="H22" s="11">
        <v>13081</v>
      </c>
      <c r="I22" s="11">
        <v>151</v>
      </c>
      <c r="J22" s="11">
        <v>353</v>
      </c>
      <c r="K22" s="11"/>
      <c r="L22" s="11"/>
      <c r="M22" s="11">
        <f t="shared" si="6"/>
        <v>3103708</v>
      </c>
    </row>
    <row r="23" spans="1:13" x14ac:dyDescent="0.25">
      <c r="A23" s="28"/>
      <c r="B23" s="16" t="s">
        <v>30</v>
      </c>
      <c r="C23" s="9">
        <v>26359</v>
      </c>
      <c r="D23" s="10">
        <v>501</v>
      </c>
      <c r="E23" s="10">
        <v>21418</v>
      </c>
      <c r="F23" s="10">
        <v>3499</v>
      </c>
      <c r="G23" s="10">
        <v>5552</v>
      </c>
      <c r="H23" s="9">
        <v>7259</v>
      </c>
      <c r="I23" s="9"/>
      <c r="J23" s="9"/>
      <c r="K23" s="9"/>
      <c r="L23" s="9"/>
      <c r="M23" s="10">
        <f t="shared" si="6"/>
        <v>64588</v>
      </c>
    </row>
    <row r="24" spans="1:13" x14ac:dyDescent="0.25">
      <c r="A24" s="28"/>
      <c r="B24" s="12" t="s">
        <v>18</v>
      </c>
      <c r="C24" s="11">
        <v>3500</v>
      </c>
      <c r="D24" s="11"/>
      <c r="E24" s="11">
        <v>3300</v>
      </c>
      <c r="F24" s="11"/>
      <c r="G24" s="11"/>
      <c r="H24" s="11"/>
      <c r="I24" s="11"/>
      <c r="J24" s="11"/>
      <c r="K24" s="11"/>
      <c r="L24" s="11"/>
      <c r="M24" s="11">
        <f t="shared" si="6"/>
        <v>6800</v>
      </c>
    </row>
    <row r="25" spans="1:13" x14ac:dyDescent="0.25">
      <c r="A25" s="29"/>
      <c r="B25" s="16" t="s">
        <v>37</v>
      </c>
      <c r="C25" s="9"/>
      <c r="D25" s="10">
        <v>18666</v>
      </c>
      <c r="E25" s="10"/>
      <c r="F25" s="10"/>
      <c r="G25" s="10"/>
      <c r="H25" s="9"/>
      <c r="I25" s="9"/>
      <c r="J25" s="9"/>
      <c r="K25" s="9"/>
      <c r="L25" s="9"/>
      <c r="M25" s="10">
        <f t="shared" si="6"/>
        <v>18666</v>
      </c>
    </row>
    <row r="26" spans="1:13" x14ac:dyDescent="0.25">
      <c r="A26" s="18" t="s">
        <v>14</v>
      </c>
      <c r="B26" s="14" t="s">
        <v>12</v>
      </c>
      <c r="C26" s="5">
        <f>SUM(C27:C38)</f>
        <v>1793533</v>
      </c>
      <c r="D26" s="5">
        <f>SUM(D27:D38)</f>
        <v>1189038</v>
      </c>
      <c r="E26" s="5">
        <f>SUM(E27:E38)</f>
        <v>391514</v>
      </c>
      <c r="F26" s="5">
        <f>SUM(F27:F38)</f>
        <v>766735</v>
      </c>
      <c r="G26" s="5">
        <f>SUM(G27:G38)</f>
        <v>67723</v>
      </c>
      <c r="H26" s="5">
        <f>SUM(H27:H38)</f>
        <v>96578</v>
      </c>
      <c r="I26" s="5">
        <f>SUM(I27:I38)</f>
        <v>9831</v>
      </c>
      <c r="J26" s="5">
        <f>SUM(J27:J38)</f>
        <v>71525</v>
      </c>
      <c r="K26" s="5">
        <f>SUM(K27:K38)</f>
        <v>0</v>
      </c>
      <c r="L26" s="5">
        <f>SUM(L27:L38)</f>
        <v>38959</v>
      </c>
      <c r="M26" s="5">
        <f>SUM(M27:M38)</f>
        <v>4425436</v>
      </c>
    </row>
    <row r="27" spans="1:13" x14ac:dyDescent="0.25">
      <c r="A27" s="18"/>
      <c r="B27" s="16" t="s">
        <v>32</v>
      </c>
      <c r="C27" s="9" t="s">
        <v>49</v>
      </c>
      <c r="D27" s="10">
        <v>4408</v>
      </c>
      <c r="E27" s="10">
        <v>8055</v>
      </c>
      <c r="F27" s="10"/>
      <c r="G27" s="10"/>
      <c r="H27" s="9"/>
      <c r="I27" s="9"/>
      <c r="J27" s="9"/>
      <c r="K27" s="9"/>
      <c r="L27" s="9"/>
      <c r="M27" s="10">
        <f t="shared" ref="M27:M38" si="7">SUM(C27:L27)</f>
        <v>12463</v>
      </c>
    </row>
    <row r="28" spans="1:13" x14ac:dyDescent="0.25">
      <c r="A28" s="18"/>
      <c r="B28" s="16" t="s">
        <v>22</v>
      </c>
      <c r="C28" s="9">
        <v>35194</v>
      </c>
      <c r="D28" s="10">
        <v>1453</v>
      </c>
      <c r="E28" s="10">
        <v>184840</v>
      </c>
      <c r="F28" s="10">
        <v>5303</v>
      </c>
      <c r="G28" s="10"/>
      <c r="H28" s="9"/>
      <c r="I28" s="9"/>
      <c r="J28" s="9"/>
      <c r="K28" s="9"/>
      <c r="L28" s="9"/>
      <c r="M28" s="10">
        <f t="shared" si="7"/>
        <v>226790</v>
      </c>
    </row>
    <row r="29" spans="1:13" x14ac:dyDescent="0.25">
      <c r="A29" s="18"/>
      <c r="B29" s="12" t="s">
        <v>23</v>
      </c>
      <c r="C29" s="11">
        <v>518173</v>
      </c>
      <c r="D29" s="11">
        <v>14848</v>
      </c>
      <c r="E29" s="11"/>
      <c r="F29" s="11">
        <v>23424</v>
      </c>
      <c r="G29" s="11">
        <v>46370</v>
      </c>
      <c r="H29" s="11"/>
      <c r="I29" s="11"/>
      <c r="J29" s="11"/>
      <c r="K29" s="11"/>
      <c r="L29" s="11"/>
      <c r="M29" s="11">
        <f t="shared" si="7"/>
        <v>602815</v>
      </c>
    </row>
    <row r="30" spans="1:13" x14ac:dyDescent="0.25">
      <c r="A30" s="18"/>
      <c r="B30" s="16" t="s">
        <v>25</v>
      </c>
      <c r="C30" s="9">
        <v>30314</v>
      </c>
      <c r="D30" s="10">
        <v>148165</v>
      </c>
      <c r="E30" s="10">
        <v>149722</v>
      </c>
      <c r="F30" s="10">
        <v>62998</v>
      </c>
      <c r="G30" s="10">
        <v>2340</v>
      </c>
      <c r="H30" s="9">
        <v>2015</v>
      </c>
      <c r="I30" s="9"/>
      <c r="J30" s="9">
        <v>2639</v>
      </c>
      <c r="K30" s="9"/>
      <c r="L30" s="9"/>
      <c r="M30" s="10">
        <f t="shared" si="7"/>
        <v>398193</v>
      </c>
    </row>
    <row r="31" spans="1:13" x14ac:dyDescent="0.25">
      <c r="A31" s="18"/>
      <c r="B31" s="12" t="s">
        <v>15</v>
      </c>
      <c r="C31" s="11">
        <v>44145</v>
      </c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7"/>
        <v>44145</v>
      </c>
    </row>
    <row r="32" spans="1:13" x14ac:dyDescent="0.25">
      <c r="A32" s="18"/>
      <c r="B32" s="16" t="s">
        <v>16</v>
      </c>
      <c r="C32" s="9">
        <v>105978</v>
      </c>
      <c r="D32" s="10"/>
      <c r="E32" s="10">
        <v>12954</v>
      </c>
      <c r="F32" s="10">
        <v>87092</v>
      </c>
      <c r="G32" s="10"/>
      <c r="H32" s="9"/>
      <c r="I32" s="9"/>
      <c r="J32" s="9">
        <v>42287</v>
      </c>
      <c r="K32" s="9"/>
      <c r="L32" s="9"/>
      <c r="M32" s="10">
        <f t="shared" si="7"/>
        <v>248311</v>
      </c>
    </row>
    <row r="33" spans="1:13" x14ac:dyDescent="0.25">
      <c r="A33" s="18"/>
      <c r="B33" s="12" t="s">
        <v>27</v>
      </c>
      <c r="C33" s="11">
        <v>35600</v>
      </c>
      <c r="D33" s="11">
        <v>35468</v>
      </c>
      <c r="E33" s="11"/>
      <c r="F33" s="11">
        <v>1054</v>
      </c>
      <c r="G33" s="11"/>
      <c r="H33" s="11"/>
      <c r="I33" s="11"/>
      <c r="J33" s="11"/>
      <c r="K33" s="11"/>
      <c r="L33" s="11"/>
      <c r="M33" s="11">
        <f t="shared" si="7"/>
        <v>72122</v>
      </c>
    </row>
    <row r="34" spans="1:13" x14ac:dyDescent="0.25">
      <c r="A34" s="18"/>
      <c r="B34" s="16" t="s">
        <v>17</v>
      </c>
      <c r="C34" s="9">
        <v>830789</v>
      </c>
      <c r="D34" s="10">
        <v>858925</v>
      </c>
      <c r="E34" s="10"/>
      <c r="F34" s="10">
        <v>571399</v>
      </c>
      <c r="G34" s="10"/>
      <c r="H34" s="9">
        <v>80395</v>
      </c>
      <c r="I34" s="9"/>
      <c r="J34" s="9">
        <v>25710</v>
      </c>
      <c r="K34" s="9"/>
      <c r="L34" s="9">
        <v>38959</v>
      </c>
      <c r="M34" s="10">
        <f t="shared" si="7"/>
        <v>2406177</v>
      </c>
    </row>
    <row r="35" spans="1:13" x14ac:dyDescent="0.25">
      <c r="A35" s="18"/>
      <c r="B35" s="12" t="s">
        <v>28</v>
      </c>
      <c r="C35" s="11">
        <v>45365</v>
      </c>
      <c r="D35" s="11">
        <v>88387</v>
      </c>
      <c r="E35" s="11">
        <v>3832</v>
      </c>
      <c r="F35" s="11"/>
      <c r="G35" s="11">
        <v>800</v>
      </c>
      <c r="H35" s="11">
        <v>14168</v>
      </c>
      <c r="I35" s="11"/>
      <c r="J35" s="11">
        <v>889</v>
      </c>
      <c r="K35" s="11"/>
      <c r="L35" s="11"/>
      <c r="M35" s="11">
        <f t="shared" si="7"/>
        <v>153441</v>
      </c>
    </row>
    <row r="36" spans="1:13" x14ac:dyDescent="0.25">
      <c r="A36" s="18"/>
      <c r="B36" s="16" t="s">
        <v>33</v>
      </c>
      <c r="C36" s="9">
        <v>147975</v>
      </c>
      <c r="D36" s="10">
        <v>37384</v>
      </c>
      <c r="E36" s="10">
        <v>26151</v>
      </c>
      <c r="F36" s="10">
        <v>4144</v>
      </c>
      <c r="G36" s="10">
        <v>18213</v>
      </c>
      <c r="H36" s="9"/>
      <c r="I36" s="9">
        <v>5674</v>
      </c>
      <c r="J36" s="9"/>
      <c r="K36" s="9"/>
      <c r="L36" s="9"/>
      <c r="M36" s="10">
        <f t="shared" si="7"/>
        <v>239541</v>
      </c>
    </row>
    <row r="37" spans="1:13" x14ac:dyDescent="0.25">
      <c r="A37" s="18"/>
      <c r="B37" s="12" t="s">
        <v>34</v>
      </c>
      <c r="C37" s="11" t="s">
        <v>49</v>
      </c>
      <c r="D37" s="11"/>
      <c r="E37" s="11">
        <v>2900</v>
      </c>
      <c r="F37" s="11">
        <v>11321</v>
      </c>
      <c r="G37" s="11"/>
      <c r="H37" s="11"/>
      <c r="I37" s="11">
        <v>4157</v>
      </c>
      <c r="J37" s="11"/>
      <c r="K37" s="11"/>
      <c r="L37" s="11"/>
      <c r="M37" s="11">
        <f t="shared" si="7"/>
        <v>18378</v>
      </c>
    </row>
    <row r="38" spans="1:13" x14ac:dyDescent="0.25">
      <c r="A38" s="18"/>
      <c r="B38" s="16" t="s">
        <v>36</v>
      </c>
      <c r="C38" s="9"/>
      <c r="D38" s="10"/>
      <c r="E38" s="10">
        <v>3060</v>
      </c>
      <c r="F38" s="10"/>
      <c r="G38" s="10"/>
      <c r="H38" s="9"/>
      <c r="I38" s="9"/>
      <c r="J38" s="9"/>
      <c r="K38" s="9"/>
      <c r="L38" s="9"/>
      <c r="M38" s="10">
        <f t="shared" si="7"/>
        <v>3060</v>
      </c>
    </row>
    <row r="39" spans="1:13" x14ac:dyDescent="0.25">
      <c r="A39" s="16"/>
      <c r="B39" s="16"/>
      <c r="C39" s="17">
        <f t="shared" ref="C39:M39" si="8">SUM(C13,C20,C26)</f>
        <v>2951135</v>
      </c>
      <c r="D39" s="17">
        <f t="shared" si="8"/>
        <v>2802906</v>
      </c>
      <c r="E39" s="17">
        <f t="shared" si="8"/>
        <v>2550497</v>
      </c>
      <c r="F39" s="17">
        <f t="shared" si="8"/>
        <v>2220754</v>
      </c>
      <c r="G39" s="17">
        <f t="shared" si="8"/>
        <v>3241718</v>
      </c>
      <c r="H39" s="17">
        <f t="shared" si="8"/>
        <v>276704</v>
      </c>
      <c r="I39" s="17">
        <f t="shared" si="8"/>
        <v>27255</v>
      </c>
      <c r="J39" s="17">
        <f t="shared" si="8"/>
        <v>116850</v>
      </c>
      <c r="K39" s="17">
        <f t="shared" si="8"/>
        <v>19805</v>
      </c>
      <c r="L39" s="17">
        <f t="shared" si="8"/>
        <v>51722</v>
      </c>
      <c r="M39" s="17">
        <f t="shared" si="8"/>
        <v>14259346</v>
      </c>
    </row>
  </sheetData>
  <mergeCells count="9">
    <mergeCell ref="A26:A38"/>
    <mergeCell ref="B3:B4"/>
    <mergeCell ref="M3:M4"/>
    <mergeCell ref="A13:A19"/>
    <mergeCell ref="B1:L1"/>
    <mergeCell ref="D3:G3"/>
    <mergeCell ref="H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H13" formulaRange="1"/>
    <ignoredError sqref="D5:K5" twoDigitTextYear="1"/>
    <ignoredError sqref="M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2024-10-01T05:57:54Z</cp:lastPrinted>
  <dcterms:created xsi:type="dcterms:W3CDTF">2015-06-05T18:17:20Z</dcterms:created>
  <dcterms:modified xsi:type="dcterms:W3CDTF">2024-10-01T05:58:22Z</dcterms:modified>
</cp:coreProperties>
</file>