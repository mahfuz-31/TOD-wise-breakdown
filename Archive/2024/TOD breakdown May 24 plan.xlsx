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Z:\Jubair Azim\3.Monthly\TOD Data\TOD wise breakdown\2024\"/>
    </mc:Choice>
  </mc:AlternateContent>
  <xr:revisionPtr revIDLastSave="0" documentId="13_ncr:1_{6DC226C0-45DF-46ED-B931-E043B3671B7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OD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6" i="2" l="1"/>
  <c r="M20" i="2"/>
  <c r="M38" i="2"/>
  <c r="M37" i="2"/>
  <c r="M36" i="2"/>
  <c r="M35" i="2"/>
  <c r="M34" i="2"/>
  <c r="M33" i="2"/>
  <c r="M32" i="2"/>
  <c r="M31" i="2"/>
  <c r="M30" i="2"/>
  <c r="M29" i="2"/>
  <c r="M28" i="2"/>
  <c r="M27" i="2"/>
  <c r="L26" i="2"/>
  <c r="K26" i="2"/>
  <c r="J26" i="2"/>
  <c r="I26" i="2"/>
  <c r="H26" i="2"/>
  <c r="G26" i="2"/>
  <c r="F26" i="2"/>
  <c r="E26" i="2"/>
  <c r="D26" i="2"/>
  <c r="C26" i="2"/>
  <c r="M25" i="2"/>
  <c r="M24" i="2"/>
  <c r="M23" i="2"/>
  <c r="M22" i="2"/>
  <c r="M21" i="2"/>
  <c r="L20" i="2"/>
  <c r="K20" i="2"/>
  <c r="J20" i="2"/>
  <c r="I20" i="2"/>
  <c r="H20" i="2"/>
  <c r="G20" i="2"/>
  <c r="F20" i="2"/>
  <c r="E20" i="2"/>
  <c r="D20" i="2"/>
  <c r="C20" i="2"/>
  <c r="M19" i="2"/>
  <c r="M18" i="2"/>
  <c r="M17" i="2"/>
  <c r="M16" i="2"/>
  <c r="M15" i="2"/>
  <c r="M14" i="2"/>
  <c r="L13" i="2"/>
  <c r="K13" i="2"/>
  <c r="J13" i="2"/>
  <c r="I13" i="2"/>
  <c r="H13" i="2"/>
  <c r="G13" i="2"/>
  <c r="F13" i="2"/>
  <c r="E13" i="2"/>
  <c r="D13" i="2"/>
  <c r="C13" i="2"/>
  <c r="M11" i="2"/>
  <c r="M10" i="2"/>
  <c r="M9" i="2"/>
  <c r="M8" i="2"/>
  <c r="M7" i="2"/>
  <c r="M6" i="2"/>
  <c r="L4" i="2"/>
  <c r="K4" i="2"/>
  <c r="J4" i="2"/>
  <c r="I4" i="2"/>
  <c r="H4" i="2"/>
  <c r="G4" i="2"/>
  <c r="F4" i="2"/>
  <c r="E4" i="2"/>
  <c r="D4" i="2"/>
  <c r="C4" i="2"/>
  <c r="C3" i="2" s="1"/>
  <c r="L2" i="2"/>
  <c r="M4" i="2" l="1"/>
  <c r="E39" i="2"/>
  <c r="H3" i="2"/>
  <c r="I39" i="2"/>
  <c r="F39" i="2"/>
  <c r="J39" i="2"/>
  <c r="K39" i="2"/>
  <c r="M13" i="2"/>
  <c r="C39" i="2"/>
  <c r="G39" i="2"/>
  <c r="D3" i="2"/>
  <c r="D39" i="2"/>
  <c r="H39" i="2"/>
  <c r="L39" i="2"/>
  <c r="M39" i="2" l="1"/>
</calcChain>
</file>

<file path=xl/sharedStrings.xml><?xml version="1.0" encoding="utf-8"?>
<sst xmlns="http://schemas.openxmlformats.org/spreadsheetml/2006/main" count="51" uniqueCount="49">
  <si>
    <t>Factory-wise Breakdown: </t>
  </si>
  <si>
    <t>Grand Total</t>
  </si>
  <si>
    <t>Factory</t>
  </si>
  <si>
    <t>On-ward</t>
  </si>
  <si>
    <t>Total</t>
  </si>
  <si>
    <t>JAL</t>
  </si>
  <si>
    <t>JFL</t>
  </si>
  <si>
    <t>JKL</t>
  </si>
  <si>
    <t>MFL</t>
  </si>
  <si>
    <t>FFL2</t>
  </si>
  <si>
    <t>JKL-U2</t>
  </si>
  <si>
    <t>Marketing Head wise Breakdown:</t>
  </si>
  <si>
    <t>Babu Sir</t>
  </si>
  <si>
    <t>Total:</t>
  </si>
  <si>
    <t>Mosharraf Sir</t>
  </si>
  <si>
    <t>Shuzon Sir</t>
  </si>
  <si>
    <t>MQ MARQET AB</t>
  </si>
  <si>
    <t>NEW FRONTIER</t>
  </si>
  <si>
    <t>PUMA</t>
  </si>
  <si>
    <t>INDISKA</t>
  </si>
  <si>
    <t>ASDA STORE LTD.</t>
  </si>
  <si>
    <t>BESTSELLER A/S</t>
  </si>
  <si>
    <t>C &amp; A BUYING GMBH &amp; CO. KG</t>
  </si>
  <si>
    <t>G-STAR RAW CV</t>
  </si>
  <si>
    <t>GUESS EUROPE SAGL</t>
  </si>
  <si>
    <t>H &amp; M HENNES &amp; MAURITAZ GBC AB</t>
  </si>
  <si>
    <t>HUGO BOSS AG</t>
  </si>
  <si>
    <t>KMART AUSTRALIA LIMITED</t>
  </si>
  <si>
    <t>NEXT SOURCING LTD.</t>
  </si>
  <si>
    <t>Ralph Lauren Corporation</t>
  </si>
  <si>
    <t>VF CORPORATION</t>
  </si>
  <si>
    <t>VOGUE SOURCING LIMITED</t>
  </si>
  <si>
    <t>ZLABELS GMBH</t>
  </si>
  <si>
    <t>BONITA GMBS &amp; CO. KG</t>
  </si>
  <si>
    <t>TOM TAILOR SOURCING LTD.</t>
  </si>
  <si>
    <t>CAMEL ACTIVE / BHB-Fashion Service Gmbh</t>
  </si>
  <si>
    <t>OCHNIK</t>
  </si>
  <si>
    <t>ITX LADIES</t>
  </si>
  <si>
    <t>ITX KIDS</t>
  </si>
  <si>
    <t>May-24 Sewing plan analysis</t>
  </si>
  <si>
    <t>Before May</t>
  </si>
  <si>
    <t>1-7'/May</t>
  </si>
  <si>
    <t>8-15'/May</t>
  </si>
  <si>
    <t>16-23'/May</t>
  </si>
  <si>
    <t>01-05'/Jun</t>
  </si>
  <si>
    <t>6-10'/Jun</t>
  </si>
  <si>
    <t>11-20'/Jun</t>
  </si>
  <si>
    <t>24-31'/May</t>
  </si>
  <si>
    <t>21-30'/Jun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</si>
</sst>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[$-409]d/mmm/yy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/>
    <xf numFmtId="0" fontId="1" fillId="0" borderId="4" xfId="0" applyFont="1" applyBorder="1" applyAlignment="1">
      <alignment horizontal="center" vertical="center"/>
    </xf>
    <xf numFmtId="0" fontId="1" fillId="0" borderId="9" xfId="0" applyFont="1" applyBorder="1"/>
    <xf numFmtId="164" fontId="0" fillId="0" borderId="10" xfId="0" applyNumberFormat="1" applyBorder="1"/>
    <xf numFmtId="164" fontId="0" fillId="0" borderId="11" xfId="0" applyNumberFormat="1" applyBorder="1"/>
    <xf numFmtId="164" fontId="0" fillId="0" borderId="12" xfId="0" applyNumberFormat="1" applyBorder="1"/>
    <xf numFmtId="0" fontId="1" fillId="0" borderId="13" xfId="0" applyFont="1" applyBorder="1"/>
    <xf numFmtId="164" fontId="0" fillId="0" borderId="14" xfId="0" applyNumberFormat="1" applyBorder="1"/>
    <xf numFmtId="3" fontId="0" fillId="0" borderId="0" xfId="0" applyNumberFormat="1"/>
    <xf numFmtId="164" fontId="0" fillId="0" borderId="16" xfId="0" applyNumberFormat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1" fillId="2" borderId="17" xfId="0" applyFont="1" applyFill="1" applyBorder="1"/>
    <xf numFmtId="3" fontId="1" fillId="2" borderId="6" xfId="0" applyNumberFormat="1" applyFont="1" applyFill="1" applyBorder="1"/>
    <xf numFmtId="3" fontId="1" fillId="2" borderId="7" xfId="0" applyNumberFormat="1" applyFont="1" applyFill="1" applyBorder="1"/>
    <xf numFmtId="3" fontId="1" fillId="2" borderId="24" xfId="0" applyNumberFormat="1" applyFont="1" applyFill="1" applyBorder="1"/>
    <xf numFmtId="3" fontId="1" fillId="2" borderId="25" xfId="0" applyNumberFormat="1" applyFont="1" applyFill="1" applyBorder="1"/>
    <xf numFmtId="3" fontId="1" fillId="2" borderId="26" xfId="0" applyNumberFormat="1" applyFont="1" applyFill="1" applyBorder="1"/>
    <xf numFmtId="3" fontId="1" fillId="2" borderId="27" xfId="0" applyNumberFormat="1" applyFont="1" applyFill="1" applyBorder="1"/>
    <xf numFmtId="0" fontId="0" fillId="0" borderId="12" xfId="0" applyBorder="1"/>
    <xf numFmtId="164" fontId="0" fillId="0" borderId="28" xfId="0" applyNumberFormat="1" applyBorder="1"/>
    <xf numFmtId="0" fontId="1" fillId="2" borderId="5" xfId="0" applyFont="1" applyFill="1" applyBorder="1"/>
    <xf numFmtId="0" fontId="1" fillId="0" borderId="30" xfId="0" applyFont="1" applyBorder="1"/>
    <xf numFmtId="164" fontId="0" fillId="0" borderId="31" xfId="0" applyNumberFormat="1" applyBorder="1"/>
    <xf numFmtId="3" fontId="2" fillId="0" borderId="1" xfId="0" applyNumberFormat="1" applyFont="1" applyBorder="1" applyAlignment="1"/>
    <xf numFmtId="164" fontId="0" fillId="0" borderId="34" xfId="0" applyNumberFormat="1" applyBorder="1"/>
    <xf numFmtId="164" fontId="0" fillId="0" borderId="35" xfId="0" applyNumberFormat="1" applyBorder="1"/>
    <xf numFmtId="164" fontId="0" fillId="0" borderId="36" xfId="0" applyNumberFormat="1" applyBorder="1"/>
    <xf numFmtId="164" fontId="0" fillId="0" borderId="9" xfId="0" applyNumberFormat="1" applyBorder="1"/>
    <xf numFmtId="164" fontId="0" fillId="0" borderId="13" xfId="0" applyNumberFormat="1" applyBorder="1"/>
    <xf numFmtId="164" fontId="0" fillId="0" borderId="37" xfId="0" applyNumberFormat="1" applyBorder="1"/>
    <xf numFmtId="0" fontId="1" fillId="0" borderId="40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3" fontId="1" fillId="2" borderId="32" xfId="0" applyNumberFormat="1" applyFont="1" applyFill="1" applyBorder="1"/>
    <xf numFmtId="164" fontId="0" fillId="0" borderId="41" xfId="0" applyNumberFormat="1" applyBorder="1"/>
    <xf numFmtId="3" fontId="1" fillId="2" borderId="5" xfId="0" applyNumberFormat="1" applyFont="1" applyFill="1" applyBorder="1"/>
    <xf numFmtId="164" fontId="0" fillId="0" borderId="30" xfId="0" applyNumberFormat="1" applyBorder="1"/>
    <xf numFmtId="164" fontId="0" fillId="0" borderId="43" xfId="0" applyNumberFormat="1" applyBorder="1"/>
    <xf numFmtId="0" fontId="0" fillId="0" borderId="42" xfId="0" applyBorder="1"/>
    <xf numFmtId="0" fontId="3" fillId="0" borderId="24" xfId="0" applyFont="1" applyBorder="1" applyAlignment="1">
      <alignment horizontal="center" vertical="center" wrapText="1"/>
    </xf>
    <xf numFmtId="0" fontId="1" fillId="2" borderId="25" xfId="0" quotePrefix="1" applyFont="1" applyFill="1" applyBorder="1" applyAlignment="1">
      <alignment horizontal="center" vertical="center"/>
    </xf>
    <xf numFmtId="0" fontId="1" fillId="2" borderId="32" xfId="0" quotePrefix="1" applyFont="1" applyFill="1" applyBorder="1" applyAlignment="1">
      <alignment horizontal="center" vertical="center"/>
    </xf>
    <xf numFmtId="164" fontId="0" fillId="2" borderId="36" xfId="0" applyNumberFormat="1" applyFill="1" applyBorder="1"/>
    <xf numFmtId="164" fontId="0" fillId="2" borderId="10" xfId="0" applyNumberFormat="1" applyFill="1" applyBorder="1"/>
    <xf numFmtId="164" fontId="0" fillId="2" borderId="37" xfId="0" applyNumberFormat="1" applyFill="1" applyBorder="1"/>
    <xf numFmtId="164" fontId="0" fillId="2" borderId="9" xfId="0" applyNumberFormat="1" applyFill="1" applyBorder="1"/>
    <xf numFmtId="164" fontId="0" fillId="2" borderId="12" xfId="0" applyNumberFormat="1" applyFill="1" applyBorder="1"/>
    <xf numFmtId="164" fontId="0" fillId="2" borderId="34" xfId="0" applyNumberFormat="1" applyFill="1" applyBorder="1"/>
    <xf numFmtId="164" fontId="0" fillId="2" borderId="13" xfId="0" applyNumberFormat="1" applyFill="1" applyBorder="1"/>
    <xf numFmtId="164" fontId="0" fillId="2" borderId="14" xfId="0" applyNumberFormat="1" applyFill="1" applyBorder="1"/>
    <xf numFmtId="164" fontId="0" fillId="2" borderId="35" xfId="0" applyNumberFormat="1" applyFill="1" applyBorder="1"/>
    <xf numFmtId="164" fontId="0" fillId="2" borderId="28" xfId="0" applyNumberFormat="1" applyFill="1" applyBorder="1"/>
    <xf numFmtId="3" fontId="0" fillId="2" borderId="42" xfId="0" applyNumberFormat="1" applyFill="1" applyBorder="1"/>
    <xf numFmtId="164" fontId="0" fillId="2" borderId="30" xfId="0" applyNumberFormat="1" applyFill="1" applyBorder="1"/>
    <xf numFmtId="164" fontId="0" fillId="2" borderId="16" xfId="0" applyNumberFormat="1" applyFill="1" applyBorder="1"/>
    <xf numFmtId="164" fontId="0" fillId="2" borderId="43" xfId="0" applyNumberFormat="1" applyFill="1" applyBorder="1"/>
    <xf numFmtId="164" fontId="0" fillId="2" borderId="11" xfId="0" applyNumberFormat="1" applyFill="1" applyBorder="1"/>
    <xf numFmtId="164" fontId="0" fillId="2" borderId="31" xfId="0" applyNumberFormat="1" applyFill="1" applyBorder="1"/>
    <xf numFmtId="0" fontId="1" fillId="2" borderId="8" xfId="0" applyFont="1" applyFill="1" applyBorder="1" applyAlignment="1">
      <alignment horizontal="center" vertical="center"/>
    </xf>
    <xf numFmtId="164" fontId="0" fillId="2" borderId="38" xfId="0" applyNumberFormat="1" applyFill="1" applyBorder="1"/>
    <xf numFmtId="164" fontId="0" fillId="2" borderId="39" xfId="0" applyNumberFormat="1" applyFill="1" applyBorder="1"/>
    <xf numFmtId="164" fontId="0" fillId="2" borderId="44" xfId="0" applyNumberFormat="1" applyFill="1" applyBorder="1"/>
    <xf numFmtId="164" fontId="0" fillId="2" borderId="45" xfId="0" applyNumberFormat="1" applyFill="1" applyBorder="1"/>
    <xf numFmtId="164" fontId="1" fillId="2" borderId="25" xfId="0" applyNumberFormat="1" applyFont="1" applyFill="1" applyBorder="1"/>
    <xf numFmtId="164" fontId="1" fillId="2" borderId="26" xfId="0" applyNumberFormat="1" applyFont="1" applyFill="1" applyBorder="1"/>
    <xf numFmtId="164" fontId="1" fillId="2" borderId="27" xfId="0" applyNumberFormat="1" applyFont="1" applyFill="1" applyBorder="1"/>
    <xf numFmtId="165" fontId="1" fillId="0" borderId="0" xfId="0" applyNumberFormat="1" applyFont="1"/>
    <xf numFmtId="0" fontId="1" fillId="0" borderId="22" xfId="0" applyFont="1" applyBorder="1" applyAlignment="1">
      <alignment horizontal="center" vertical="center"/>
    </xf>
    <xf numFmtId="164" fontId="0" fillId="0" borderId="46" xfId="0" applyNumberFormat="1" applyBorder="1"/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0" borderId="15" xfId="0" applyFont="1" applyBorder="1" applyAlignment="1">
      <alignment horizontal="left"/>
    </xf>
    <xf numFmtId="3" fontId="2" fillId="0" borderId="1" xfId="0" applyNumberFormat="1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3" fontId="2" fillId="0" borderId="3" xfId="0" applyNumberFormat="1" applyFont="1" applyBorder="1" applyAlignment="1">
      <alignment horizontal="center"/>
    </xf>
    <xf numFmtId="3" fontId="2" fillId="0" borderId="25" xfId="0" applyNumberFormat="1" applyFont="1" applyBorder="1" applyAlignment="1">
      <alignment horizontal="center"/>
    </xf>
    <xf numFmtId="3" fontId="2" fillId="0" borderId="26" xfId="0" applyNumberFormat="1" applyFont="1" applyBorder="1" applyAlignment="1">
      <alignment horizontal="center"/>
    </xf>
    <xf numFmtId="3" fontId="2" fillId="0" borderId="27" xfId="0" applyNumberFormat="1" applyFont="1" applyBorder="1" applyAlignment="1">
      <alignment horizontal="center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878B6-420B-4EA4-BDEA-17DC2468D6A2}">
  <dimension ref="A1:Q39"/>
  <sheetViews>
    <sheetView tabSelected="1" view="pageBreakPreview" topLeftCell="A25" zoomScaleNormal="100" zoomScaleSheetLayoutView="100" workbookViewId="0">
      <selection activeCell="B9" sqref="A1:M39"/>
    </sheetView>
  </sheetViews>
  <sheetFormatPr defaultRowHeight="15" x14ac:dyDescent="0.25"/>
  <cols>
    <col min="1" max="1" width="10.140625" customWidth="1"/>
    <col min="2" max="2" width="40.7109375" customWidth="1"/>
    <col min="3" max="3" width="11.7109375" customWidth="1"/>
    <col min="4" max="7" width="11" customWidth="1"/>
    <col min="8" max="10" width="10.5703125" customWidth="1"/>
    <col min="11" max="11" width="10.42578125" customWidth="1"/>
    <col min="12" max="12" width="10.140625" customWidth="1"/>
    <col min="13" max="13" width="11.5703125" customWidth="1"/>
    <col min="15" max="15" width="10.140625" bestFit="1" customWidth="1"/>
  </cols>
  <sheetData>
    <row r="1" spans="1:17" ht="26.25" x14ac:dyDescent="0.4">
      <c r="B1" s="75" t="s">
        <v>39</v>
      </c>
      <c r="C1" s="75"/>
      <c r="D1" s="75"/>
      <c r="E1" s="75"/>
      <c r="F1" s="75"/>
      <c r="G1" s="75"/>
      <c r="H1" s="75"/>
      <c r="I1" s="75"/>
      <c r="J1" s="75"/>
      <c r="K1" s="75"/>
      <c r="L1" s="75"/>
    </row>
    <row r="2" spans="1:17" ht="15.75" thickBot="1" x14ac:dyDescent="0.3">
      <c r="A2" s="1" t="s">
        <v>0</v>
      </c>
      <c r="L2" s="69">
        <f ca="1">TODAY()</f>
        <v>45414</v>
      </c>
    </row>
    <row r="3" spans="1:17" ht="16.5" thickBot="1" x14ac:dyDescent="0.3">
      <c r="C3" s="26">
        <f>C4</f>
        <v>3150437</v>
      </c>
      <c r="D3" s="80">
        <f>SUM(D4:G4)</f>
        <v>12697238</v>
      </c>
      <c r="E3" s="81"/>
      <c r="F3" s="81"/>
      <c r="G3" s="82"/>
      <c r="H3" s="77">
        <f>SUM(H4:L4)</f>
        <v>888493</v>
      </c>
      <c r="I3" s="78"/>
      <c r="J3" s="78"/>
      <c r="K3" s="78"/>
      <c r="L3" s="79"/>
    </row>
    <row r="4" spans="1:17" ht="15.75" thickBot="1" x14ac:dyDescent="0.3">
      <c r="B4" s="1" t="s">
        <v>1</v>
      </c>
      <c r="C4" s="18">
        <f>SUM(C6:C11)</f>
        <v>3150437</v>
      </c>
      <c r="D4" s="18">
        <f t="shared" ref="D4:H4" si="0">SUM(D6:D11)</f>
        <v>3599812</v>
      </c>
      <c r="E4" s="19">
        <f t="shared" si="0"/>
        <v>3133936</v>
      </c>
      <c r="F4" s="19">
        <f t="shared" si="0"/>
        <v>3846378</v>
      </c>
      <c r="G4" s="19">
        <f t="shared" si="0"/>
        <v>2117112</v>
      </c>
      <c r="H4" s="18">
        <f t="shared" si="0"/>
        <v>660536</v>
      </c>
      <c r="I4" s="19">
        <f>SUM(I6:I11)</f>
        <v>81238</v>
      </c>
      <c r="J4" s="19">
        <f>SUM(J6:J11)</f>
        <v>85412</v>
      </c>
      <c r="K4" s="19">
        <f>SUM(K6:K11)</f>
        <v>31614</v>
      </c>
      <c r="L4" s="20">
        <f>SUM(L6:L11)</f>
        <v>29693</v>
      </c>
      <c r="M4" s="17">
        <f>SUM(M6:M11)</f>
        <v>16736168</v>
      </c>
      <c r="P4" s="9"/>
      <c r="Q4" s="9"/>
    </row>
    <row r="5" spans="1:17" ht="15.75" thickBot="1" x14ac:dyDescent="0.3">
      <c r="B5" s="2" t="s">
        <v>2</v>
      </c>
      <c r="C5" s="42" t="s">
        <v>40</v>
      </c>
      <c r="D5" s="43" t="s">
        <v>41</v>
      </c>
      <c r="E5" s="44" t="s">
        <v>42</v>
      </c>
      <c r="F5" s="44" t="s">
        <v>43</v>
      </c>
      <c r="G5" s="44" t="s">
        <v>47</v>
      </c>
      <c r="H5" s="33" t="s">
        <v>44</v>
      </c>
      <c r="I5" s="34" t="s">
        <v>45</v>
      </c>
      <c r="J5" s="34" t="s">
        <v>46</v>
      </c>
      <c r="K5" s="34" t="s">
        <v>48</v>
      </c>
      <c r="L5" s="35" t="s">
        <v>3</v>
      </c>
      <c r="M5" s="61" t="s">
        <v>4</v>
      </c>
    </row>
    <row r="6" spans="1:17" x14ac:dyDescent="0.25">
      <c r="B6" s="3" t="s">
        <v>5</v>
      </c>
      <c r="C6" s="5">
        <v>291842</v>
      </c>
      <c r="D6" s="45">
        <v>682192</v>
      </c>
      <c r="E6" s="46">
        <v>1193463</v>
      </c>
      <c r="F6" s="46">
        <v>717118</v>
      </c>
      <c r="G6" s="47">
        <v>206350</v>
      </c>
      <c r="H6" s="29">
        <v>203278</v>
      </c>
      <c r="I6" s="4">
        <v>444</v>
      </c>
      <c r="J6" s="4">
        <v>10587</v>
      </c>
      <c r="K6" s="4">
        <v>9243</v>
      </c>
      <c r="L6" s="22">
        <v>395</v>
      </c>
      <c r="M6" s="62">
        <f t="shared" ref="M6:M11" si="1">SUM(C6:L6)</f>
        <v>3314912</v>
      </c>
    </row>
    <row r="7" spans="1:17" x14ac:dyDescent="0.25">
      <c r="B7" s="3" t="s">
        <v>6</v>
      </c>
      <c r="C7" s="5">
        <v>763012</v>
      </c>
      <c r="D7" s="48">
        <v>582729</v>
      </c>
      <c r="E7" s="49">
        <v>327529</v>
      </c>
      <c r="F7" s="49">
        <v>586058</v>
      </c>
      <c r="G7" s="50">
        <v>819270</v>
      </c>
      <c r="H7" s="30">
        <v>16333</v>
      </c>
      <c r="I7" s="21">
        <v>2530</v>
      </c>
      <c r="J7" s="6">
        <v>1008</v>
      </c>
      <c r="K7" s="6">
        <v>3538</v>
      </c>
      <c r="L7" s="5"/>
      <c r="M7" s="62">
        <f t="shared" si="1"/>
        <v>3102007</v>
      </c>
    </row>
    <row r="8" spans="1:17" x14ac:dyDescent="0.25">
      <c r="B8" s="3" t="s">
        <v>7</v>
      </c>
      <c r="C8" s="5">
        <v>851166</v>
      </c>
      <c r="D8" s="48">
        <v>365426</v>
      </c>
      <c r="E8" s="49">
        <v>221477</v>
      </c>
      <c r="F8" s="49">
        <v>190859</v>
      </c>
      <c r="G8" s="50">
        <v>24594</v>
      </c>
      <c r="H8" s="30">
        <v>30494</v>
      </c>
      <c r="I8" s="6">
        <v>2328</v>
      </c>
      <c r="J8" s="6">
        <v>8076</v>
      </c>
      <c r="K8" s="6">
        <v>2500</v>
      </c>
      <c r="L8" s="5">
        <v>1734</v>
      </c>
      <c r="M8" s="62">
        <f t="shared" si="1"/>
        <v>1698654</v>
      </c>
    </row>
    <row r="9" spans="1:17" x14ac:dyDescent="0.25">
      <c r="B9" s="3" t="s">
        <v>8</v>
      </c>
      <c r="C9" s="5">
        <v>713514</v>
      </c>
      <c r="D9" s="48">
        <v>582932</v>
      </c>
      <c r="E9" s="49">
        <v>247373</v>
      </c>
      <c r="F9" s="49">
        <v>448632</v>
      </c>
      <c r="G9" s="50">
        <v>369859</v>
      </c>
      <c r="H9" s="30">
        <v>59859</v>
      </c>
      <c r="I9" s="6">
        <v>18979</v>
      </c>
      <c r="J9" s="6">
        <v>59612</v>
      </c>
      <c r="K9" s="6">
        <v>16333</v>
      </c>
      <c r="L9" s="5">
        <v>27564</v>
      </c>
      <c r="M9" s="62">
        <f t="shared" si="1"/>
        <v>2544657</v>
      </c>
    </row>
    <row r="10" spans="1:17" x14ac:dyDescent="0.25">
      <c r="B10" s="3" t="s">
        <v>9</v>
      </c>
      <c r="C10" s="5">
        <v>250737</v>
      </c>
      <c r="D10" s="48">
        <v>901299</v>
      </c>
      <c r="E10" s="49">
        <v>357483</v>
      </c>
      <c r="F10" s="49">
        <v>671957</v>
      </c>
      <c r="G10" s="50">
        <v>351001</v>
      </c>
      <c r="H10" s="30">
        <v>44377</v>
      </c>
      <c r="I10" s="6">
        <v>6732</v>
      </c>
      <c r="K10" s="6"/>
      <c r="L10" s="5"/>
      <c r="M10" s="62">
        <f t="shared" si="1"/>
        <v>2583586</v>
      </c>
    </row>
    <row r="11" spans="1:17" ht="15.75" thickBot="1" x14ac:dyDescent="0.3">
      <c r="B11" s="7" t="s">
        <v>10</v>
      </c>
      <c r="C11" s="25">
        <v>280166</v>
      </c>
      <c r="D11" s="51">
        <v>485234</v>
      </c>
      <c r="E11" s="52">
        <v>786611</v>
      </c>
      <c r="F11" s="52">
        <v>1231754</v>
      </c>
      <c r="G11" s="53">
        <v>346038</v>
      </c>
      <c r="H11" s="31">
        <v>306195</v>
      </c>
      <c r="I11" s="8">
        <v>50225</v>
      </c>
      <c r="J11" s="8">
        <v>6129</v>
      </c>
      <c r="K11" s="8"/>
      <c r="L11" s="25"/>
      <c r="M11" s="63">
        <f t="shared" si="1"/>
        <v>3492352</v>
      </c>
    </row>
    <row r="12" spans="1:17" ht="15.75" thickBot="1" x14ac:dyDescent="0.3">
      <c r="A12" s="76" t="s">
        <v>11</v>
      </c>
      <c r="B12" s="76"/>
      <c r="C12" s="76"/>
      <c r="D12" s="9"/>
      <c r="E12" s="9"/>
      <c r="F12" s="9"/>
      <c r="G12" s="9"/>
      <c r="H12" s="9"/>
      <c r="I12" s="9"/>
      <c r="J12" s="9"/>
      <c r="K12" s="9"/>
    </row>
    <row r="13" spans="1:17" ht="15.75" thickBot="1" x14ac:dyDescent="0.3">
      <c r="A13" s="72" t="s">
        <v>12</v>
      </c>
      <c r="B13" s="14" t="s">
        <v>13</v>
      </c>
      <c r="C13" s="15">
        <f t="shared" ref="C13:M13" si="2">SUM(C14:C19)</f>
        <v>1494690</v>
      </c>
      <c r="D13" s="15">
        <f t="shared" si="2"/>
        <v>1086375</v>
      </c>
      <c r="E13" s="15">
        <f t="shared" si="2"/>
        <v>430302</v>
      </c>
      <c r="F13" s="15">
        <f t="shared" si="2"/>
        <v>1006008</v>
      </c>
      <c r="G13" s="15">
        <f t="shared" si="2"/>
        <v>1211381</v>
      </c>
      <c r="H13" s="15">
        <f t="shared" si="2"/>
        <v>64472</v>
      </c>
      <c r="I13" s="15">
        <f t="shared" si="2"/>
        <v>21509</v>
      </c>
      <c r="J13" s="15">
        <f t="shared" si="2"/>
        <v>58265</v>
      </c>
      <c r="K13" s="15">
        <f t="shared" si="2"/>
        <v>22371</v>
      </c>
      <c r="L13" s="15">
        <f t="shared" si="2"/>
        <v>24489</v>
      </c>
      <c r="M13" s="15">
        <f t="shared" si="2"/>
        <v>5419862</v>
      </c>
      <c r="Q13" s="9"/>
    </row>
    <row r="14" spans="1:17" x14ac:dyDescent="0.25">
      <c r="A14" s="73"/>
      <c r="B14" s="11" t="s">
        <v>20</v>
      </c>
      <c r="C14" s="32">
        <v>530571</v>
      </c>
      <c r="D14" s="45">
        <v>975861</v>
      </c>
      <c r="E14" s="46">
        <v>225054</v>
      </c>
      <c r="F14" s="46">
        <v>763285</v>
      </c>
      <c r="G14" s="54">
        <v>1167236</v>
      </c>
      <c r="H14" s="29">
        <v>64472</v>
      </c>
      <c r="I14" s="6">
        <v>18315</v>
      </c>
      <c r="J14" s="4">
        <v>58265</v>
      </c>
      <c r="K14" s="4">
        <v>22371</v>
      </c>
      <c r="L14" s="4">
        <v>24489</v>
      </c>
      <c r="M14" s="64">
        <f>SUM(C14:L14)</f>
        <v>3849919</v>
      </c>
      <c r="P14" s="9"/>
    </row>
    <row r="15" spans="1:17" x14ac:dyDescent="0.25">
      <c r="A15" s="73"/>
      <c r="B15" s="11" t="s">
        <v>21</v>
      </c>
      <c r="C15" s="27">
        <v>348414</v>
      </c>
      <c r="D15" s="45">
        <v>88262</v>
      </c>
      <c r="E15" s="46">
        <v>118196</v>
      </c>
      <c r="F15" s="46">
        <v>49042</v>
      </c>
      <c r="G15" s="54">
        <v>12888</v>
      </c>
      <c r="H15" s="29"/>
      <c r="I15" s="4"/>
      <c r="J15" s="4"/>
      <c r="K15" s="4"/>
      <c r="L15" s="22"/>
      <c r="M15" s="64">
        <f>SUM(C15:L15)</f>
        <v>616802</v>
      </c>
      <c r="O15" s="9"/>
    </row>
    <row r="16" spans="1:17" x14ac:dyDescent="0.25">
      <c r="A16" s="73"/>
      <c r="B16" s="12" t="s">
        <v>27</v>
      </c>
      <c r="D16" s="45"/>
      <c r="E16" s="46">
        <v>84077</v>
      </c>
      <c r="F16" s="46">
        <v>119979</v>
      </c>
      <c r="G16" s="46"/>
      <c r="H16" s="30"/>
      <c r="I16" s="6"/>
      <c r="J16" s="6"/>
      <c r="K16" s="6"/>
      <c r="L16" s="5"/>
      <c r="M16" s="64">
        <f t="shared" ref="M16:M19" si="3">SUM(C16:L16)</f>
        <v>204056</v>
      </c>
    </row>
    <row r="17" spans="1:15" x14ac:dyDescent="0.25">
      <c r="A17" s="73"/>
      <c r="B17" s="13" t="s">
        <v>30</v>
      </c>
      <c r="C17" s="37">
        <v>585972</v>
      </c>
      <c r="D17" s="56">
        <v>22252</v>
      </c>
      <c r="E17" s="57">
        <v>2975</v>
      </c>
      <c r="F17" s="57">
        <v>2146</v>
      </c>
      <c r="G17" s="58">
        <v>9006</v>
      </c>
      <c r="H17" s="39"/>
      <c r="I17" s="10">
        <v>3194</v>
      </c>
      <c r="J17" s="10"/>
      <c r="K17" s="10"/>
      <c r="L17" s="40"/>
      <c r="M17" s="64">
        <f t="shared" si="3"/>
        <v>625545</v>
      </c>
    </row>
    <row r="18" spans="1:15" x14ac:dyDescent="0.25">
      <c r="A18" s="73"/>
      <c r="B18" s="13" t="s">
        <v>32</v>
      </c>
      <c r="C18" s="27">
        <v>23733</v>
      </c>
      <c r="D18" s="48"/>
      <c r="E18" s="49"/>
      <c r="F18" s="49"/>
      <c r="G18" s="59">
        <v>22251</v>
      </c>
      <c r="H18" s="30"/>
      <c r="I18" s="6"/>
      <c r="J18" s="6"/>
      <c r="K18" s="6"/>
      <c r="L18" s="5"/>
      <c r="M18" s="64">
        <f t="shared" si="3"/>
        <v>45984</v>
      </c>
    </row>
    <row r="19" spans="1:15" ht="15.75" thickBot="1" x14ac:dyDescent="0.3">
      <c r="A19" s="70"/>
      <c r="B19" s="13" t="s">
        <v>36</v>
      </c>
      <c r="C19" s="71">
        <v>6000</v>
      </c>
      <c r="D19" s="48"/>
      <c r="E19" s="49"/>
      <c r="F19" s="49">
        <v>71556</v>
      </c>
      <c r="G19" s="59"/>
      <c r="H19" s="30"/>
      <c r="I19" s="6"/>
      <c r="J19" s="6"/>
      <c r="K19" s="6"/>
      <c r="L19" s="5"/>
      <c r="M19" s="64">
        <f t="shared" si="3"/>
        <v>77556</v>
      </c>
    </row>
    <row r="20" spans="1:15" ht="15.75" customHeight="1" thickBot="1" x14ac:dyDescent="0.3">
      <c r="A20" s="83" t="s">
        <v>14</v>
      </c>
      <c r="B20" s="14" t="s">
        <v>13</v>
      </c>
      <c r="C20" s="16">
        <f t="shared" ref="C20:M20" si="4">SUM(C21:C25)</f>
        <v>781741</v>
      </c>
      <c r="D20" s="16">
        <f t="shared" si="4"/>
        <v>2114138</v>
      </c>
      <c r="E20" s="16">
        <f t="shared" si="4"/>
        <v>2235757</v>
      </c>
      <c r="F20" s="16">
        <f t="shared" si="4"/>
        <v>2310694</v>
      </c>
      <c r="G20" s="16">
        <f t="shared" si="4"/>
        <v>881138</v>
      </c>
      <c r="H20" s="16">
        <f t="shared" si="4"/>
        <v>530731</v>
      </c>
      <c r="I20" s="16">
        <f t="shared" si="4"/>
        <v>57401</v>
      </c>
      <c r="J20" s="16">
        <f t="shared" si="4"/>
        <v>10587</v>
      </c>
      <c r="K20" s="16">
        <f t="shared" si="4"/>
        <v>9243</v>
      </c>
      <c r="L20" s="16">
        <f t="shared" si="4"/>
        <v>395</v>
      </c>
      <c r="M20" s="16">
        <f>SUM(M21:M25)</f>
        <v>8931825</v>
      </c>
      <c r="O20" s="9"/>
    </row>
    <row r="21" spans="1:15" x14ac:dyDescent="0.25">
      <c r="A21" s="84"/>
      <c r="B21" s="12" t="s">
        <v>22</v>
      </c>
      <c r="C21" s="27">
        <v>128792</v>
      </c>
      <c r="D21" s="48">
        <v>385394</v>
      </c>
      <c r="E21" s="49">
        <v>1531735</v>
      </c>
      <c r="F21" s="49">
        <v>1223039</v>
      </c>
      <c r="G21" s="59">
        <v>383726</v>
      </c>
      <c r="H21" s="30">
        <v>470260</v>
      </c>
      <c r="I21" s="6">
        <v>50225</v>
      </c>
      <c r="J21" s="6">
        <v>10587</v>
      </c>
      <c r="K21" s="6">
        <v>9243</v>
      </c>
      <c r="L21" s="5">
        <v>395</v>
      </c>
      <c r="M21" s="64">
        <f t="shared" ref="M21:M25" si="5">SUM(C21:L21)</f>
        <v>4193396</v>
      </c>
    </row>
    <row r="22" spans="1:15" x14ac:dyDescent="0.25">
      <c r="A22" s="84"/>
      <c r="B22" s="12" t="s">
        <v>25</v>
      </c>
      <c r="C22" s="27">
        <v>599041</v>
      </c>
      <c r="D22" s="48">
        <v>1688736</v>
      </c>
      <c r="E22" s="49">
        <v>683224</v>
      </c>
      <c r="F22" s="49">
        <v>1065225</v>
      </c>
      <c r="G22" s="59">
        <v>497412</v>
      </c>
      <c r="H22" s="30">
        <v>60471</v>
      </c>
      <c r="I22" s="6">
        <v>7176</v>
      </c>
      <c r="J22" s="6"/>
      <c r="K22" s="6"/>
      <c r="L22" s="5"/>
      <c r="M22" s="64">
        <f t="shared" si="5"/>
        <v>4601285</v>
      </c>
    </row>
    <row r="23" spans="1:15" x14ac:dyDescent="0.25">
      <c r="A23" s="84"/>
      <c r="B23" s="12" t="s">
        <v>31</v>
      </c>
      <c r="C23" s="27">
        <v>48540</v>
      </c>
      <c r="D23" s="48">
        <v>11348</v>
      </c>
      <c r="E23" s="49">
        <v>20798</v>
      </c>
      <c r="F23" s="49">
        <v>22430</v>
      </c>
      <c r="G23" s="59"/>
      <c r="H23" s="30"/>
      <c r="I23" s="21"/>
      <c r="J23" s="21"/>
      <c r="K23" s="6"/>
      <c r="L23" s="41"/>
      <c r="M23" s="64">
        <f t="shared" si="5"/>
        <v>103116</v>
      </c>
    </row>
    <row r="24" spans="1:15" x14ac:dyDescent="0.25">
      <c r="A24" s="84"/>
      <c r="B24" s="13" t="s">
        <v>19</v>
      </c>
      <c r="C24" s="37">
        <v>1300</v>
      </c>
      <c r="D24" s="56"/>
      <c r="E24" s="57"/>
      <c r="F24" s="57"/>
      <c r="G24" s="58"/>
      <c r="H24" s="39"/>
      <c r="I24" s="10"/>
      <c r="J24" s="10"/>
      <c r="K24" s="10"/>
      <c r="L24" s="40"/>
      <c r="M24" s="64">
        <f t="shared" si="5"/>
        <v>1300</v>
      </c>
    </row>
    <row r="25" spans="1:15" ht="15.75" thickBot="1" x14ac:dyDescent="0.3">
      <c r="A25" s="85"/>
      <c r="B25" s="7" t="s">
        <v>38</v>
      </c>
      <c r="C25" s="37">
        <v>4068</v>
      </c>
      <c r="D25" s="56">
        <v>28660</v>
      </c>
      <c r="E25" s="57"/>
      <c r="F25" s="57"/>
      <c r="G25" s="58"/>
      <c r="H25" s="39"/>
      <c r="I25" s="10"/>
      <c r="J25" s="10"/>
      <c r="K25" s="10"/>
      <c r="L25" s="40"/>
      <c r="M25" s="64">
        <f t="shared" si="5"/>
        <v>32728</v>
      </c>
    </row>
    <row r="26" spans="1:15" ht="15.75" thickBot="1" x14ac:dyDescent="0.3">
      <c r="A26" s="72" t="s">
        <v>15</v>
      </c>
      <c r="B26" s="23" t="s">
        <v>13</v>
      </c>
      <c r="C26" s="36">
        <f t="shared" ref="C26:M26" si="6">SUM(C27:C38)</f>
        <v>874007</v>
      </c>
      <c r="D26" s="38">
        <f t="shared" si="6"/>
        <v>399299</v>
      </c>
      <c r="E26" s="15">
        <f t="shared" si="6"/>
        <v>467877</v>
      </c>
      <c r="F26" s="15">
        <f t="shared" si="6"/>
        <v>529677</v>
      </c>
      <c r="G26" s="16">
        <f t="shared" si="6"/>
        <v>24593</v>
      </c>
      <c r="H26" s="38">
        <f t="shared" si="6"/>
        <v>65333</v>
      </c>
      <c r="I26" s="15">
        <f t="shared" si="6"/>
        <v>2328</v>
      </c>
      <c r="J26" s="15">
        <f t="shared" si="6"/>
        <v>16560</v>
      </c>
      <c r="K26" s="15">
        <f t="shared" si="6"/>
        <v>0</v>
      </c>
      <c r="L26" s="16">
        <f t="shared" si="6"/>
        <v>4809</v>
      </c>
      <c r="M26" s="20">
        <f>SUM(M27:M38)</f>
        <v>2384483</v>
      </c>
    </row>
    <row r="27" spans="1:15" x14ac:dyDescent="0.25">
      <c r="A27" s="73"/>
      <c r="B27" s="3" t="s">
        <v>33</v>
      </c>
      <c r="C27" s="27">
        <v>22984</v>
      </c>
      <c r="D27" s="48"/>
      <c r="E27" s="49"/>
      <c r="F27" s="49"/>
      <c r="G27" s="59"/>
      <c r="H27" s="30"/>
      <c r="I27" s="6"/>
      <c r="J27" s="6"/>
      <c r="K27" s="6"/>
      <c r="L27" s="5"/>
      <c r="M27" s="64">
        <f t="shared" ref="M27:M38" si="7">SUM(C27:L27)</f>
        <v>22984</v>
      </c>
    </row>
    <row r="28" spans="1:15" x14ac:dyDescent="0.25">
      <c r="A28" s="73"/>
      <c r="B28" s="3" t="s">
        <v>23</v>
      </c>
      <c r="C28" s="27">
        <v>26500</v>
      </c>
      <c r="D28" s="48">
        <v>2353</v>
      </c>
      <c r="E28" s="49">
        <v>4826</v>
      </c>
      <c r="F28" s="49">
        <v>22566</v>
      </c>
      <c r="G28" s="59">
        <v>9566</v>
      </c>
      <c r="H28" s="30"/>
      <c r="I28" s="6"/>
      <c r="J28" s="6"/>
      <c r="K28" s="6"/>
      <c r="L28" s="5"/>
      <c r="M28" s="64">
        <f t="shared" si="7"/>
        <v>65811</v>
      </c>
    </row>
    <row r="29" spans="1:15" x14ac:dyDescent="0.25">
      <c r="A29" s="73"/>
      <c r="B29" s="3" t="s">
        <v>24</v>
      </c>
      <c r="C29" s="27">
        <v>458068</v>
      </c>
      <c r="D29" s="48">
        <v>76080</v>
      </c>
      <c r="E29" s="49">
        <v>93530</v>
      </c>
      <c r="F29" s="49">
        <v>8060</v>
      </c>
      <c r="G29" s="59">
        <v>11673</v>
      </c>
      <c r="H29" s="30">
        <v>11903</v>
      </c>
      <c r="I29" s="6">
        <v>2328</v>
      </c>
      <c r="J29" s="6"/>
      <c r="K29" s="6"/>
      <c r="L29" s="5"/>
      <c r="M29" s="64">
        <f t="shared" si="7"/>
        <v>661642</v>
      </c>
    </row>
    <row r="30" spans="1:15" x14ac:dyDescent="0.25">
      <c r="A30" s="73"/>
      <c r="B30" s="3" t="s">
        <v>26</v>
      </c>
      <c r="C30" s="27">
        <v>84057</v>
      </c>
      <c r="D30" s="48">
        <v>56611</v>
      </c>
      <c r="E30" s="49">
        <v>40166</v>
      </c>
      <c r="F30" s="49">
        <v>18391</v>
      </c>
      <c r="G30" s="59"/>
      <c r="H30" s="30"/>
      <c r="I30" s="6"/>
      <c r="J30" s="6"/>
      <c r="K30" s="6"/>
      <c r="L30" s="5"/>
      <c r="M30" s="64">
        <f t="shared" si="7"/>
        <v>199225</v>
      </c>
    </row>
    <row r="31" spans="1:15" x14ac:dyDescent="0.25">
      <c r="A31" s="73"/>
      <c r="B31" s="3" t="s">
        <v>16</v>
      </c>
      <c r="C31" s="27">
        <v>3205</v>
      </c>
      <c r="D31" s="48"/>
      <c r="E31" s="49"/>
      <c r="F31" s="49">
        <v>4700</v>
      </c>
      <c r="G31" s="59"/>
      <c r="H31" s="30">
        <v>4403</v>
      </c>
      <c r="I31" s="6"/>
      <c r="J31" s="6"/>
      <c r="K31" s="6"/>
      <c r="L31" s="5"/>
      <c r="M31" s="64">
        <f t="shared" si="7"/>
        <v>12308</v>
      </c>
    </row>
    <row r="32" spans="1:15" x14ac:dyDescent="0.25">
      <c r="A32" s="73"/>
      <c r="B32" s="3" t="s">
        <v>17</v>
      </c>
      <c r="C32" s="27">
        <v>12796</v>
      </c>
      <c r="D32" s="48"/>
      <c r="E32" s="49">
        <v>112907</v>
      </c>
      <c r="F32" s="49">
        <v>64654</v>
      </c>
      <c r="G32" s="59"/>
      <c r="H32" s="30"/>
      <c r="I32" s="6"/>
      <c r="J32" s="6"/>
      <c r="K32" s="6"/>
      <c r="L32" s="5"/>
      <c r="M32" s="64">
        <f t="shared" si="7"/>
        <v>190357</v>
      </c>
    </row>
    <row r="33" spans="1:13" x14ac:dyDescent="0.25">
      <c r="A33" s="73"/>
      <c r="B33" s="3" t="s">
        <v>28</v>
      </c>
      <c r="C33" s="27">
        <v>32729</v>
      </c>
      <c r="D33" s="48"/>
      <c r="E33" s="49"/>
      <c r="F33" s="49"/>
      <c r="G33" s="59"/>
      <c r="H33" s="30"/>
      <c r="I33" s="6"/>
      <c r="J33" s="6"/>
      <c r="K33" s="6"/>
      <c r="L33" s="5"/>
      <c r="M33" s="64">
        <f t="shared" si="7"/>
        <v>32729</v>
      </c>
    </row>
    <row r="34" spans="1:13" x14ac:dyDescent="0.25">
      <c r="A34" s="73"/>
      <c r="B34" s="3" t="s">
        <v>18</v>
      </c>
      <c r="C34" s="27">
        <v>183142</v>
      </c>
      <c r="D34" s="48">
        <v>261005</v>
      </c>
      <c r="E34" s="49"/>
      <c r="F34" s="49">
        <v>277212</v>
      </c>
      <c r="G34" s="59"/>
      <c r="H34" s="30">
        <v>49027</v>
      </c>
      <c r="I34" s="6"/>
      <c r="J34" s="6">
        <v>16560</v>
      </c>
      <c r="K34" s="6"/>
      <c r="L34" s="40">
        <v>4809</v>
      </c>
      <c r="M34" s="64">
        <f t="shared" si="7"/>
        <v>791755</v>
      </c>
    </row>
    <row r="35" spans="1:13" x14ac:dyDescent="0.25">
      <c r="A35" s="73"/>
      <c r="B35" s="3" t="s">
        <v>29</v>
      </c>
      <c r="C35" s="27">
        <v>9335</v>
      </c>
      <c r="D35" s="48"/>
      <c r="E35" s="49"/>
      <c r="F35" s="49">
        <v>5094</v>
      </c>
      <c r="G35" s="59"/>
      <c r="H35" s="30"/>
      <c r="I35" s="6"/>
      <c r="J35" s="6"/>
      <c r="K35" s="6"/>
      <c r="L35" s="5"/>
      <c r="M35" s="64">
        <f t="shared" si="7"/>
        <v>14429</v>
      </c>
    </row>
    <row r="36" spans="1:13" x14ac:dyDescent="0.25">
      <c r="A36" s="73"/>
      <c r="B36" s="24" t="s">
        <v>34</v>
      </c>
      <c r="C36" s="37">
        <v>30858</v>
      </c>
      <c r="D36" s="56"/>
      <c r="E36" s="57">
        <v>46448</v>
      </c>
      <c r="F36" s="57"/>
      <c r="G36" s="59"/>
      <c r="H36" s="39"/>
      <c r="I36" s="10"/>
      <c r="J36" s="10"/>
      <c r="K36" s="10"/>
      <c r="L36" s="40"/>
      <c r="M36" s="64">
        <f t="shared" si="7"/>
        <v>77306</v>
      </c>
    </row>
    <row r="37" spans="1:13" x14ac:dyDescent="0.25">
      <c r="A37" s="73"/>
      <c r="B37" s="24" t="s">
        <v>35</v>
      </c>
      <c r="C37" s="37">
        <v>1735</v>
      </c>
      <c r="D37" s="56">
        <v>1000</v>
      </c>
      <c r="E37" s="49"/>
      <c r="F37" s="49">
        <v>4000</v>
      </c>
      <c r="G37" s="55">
        <v>3354</v>
      </c>
      <c r="H37" s="39"/>
      <c r="I37" s="10"/>
      <c r="J37" s="10"/>
      <c r="K37" s="10"/>
      <c r="L37" s="40"/>
      <c r="M37" s="64">
        <f t="shared" si="7"/>
        <v>10089</v>
      </c>
    </row>
    <row r="38" spans="1:13" ht="15.75" thickBot="1" x14ac:dyDescent="0.3">
      <c r="A38" s="74"/>
      <c r="B38" s="7" t="s">
        <v>37</v>
      </c>
      <c r="C38" s="28">
        <v>8598</v>
      </c>
      <c r="D38" s="51">
        <v>2250</v>
      </c>
      <c r="E38" s="52">
        <v>170000</v>
      </c>
      <c r="F38" s="52">
        <v>125000</v>
      </c>
      <c r="G38" s="60"/>
      <c r="H38" s="31"/>
      <c r="I38" s="8"/>
      <c r="J38" s="8"/>
      <c r="K38" s="8"/>
      <c r="L38" s="25"/>
      <c r="M38" s="65">
        <f t="shared" si="7"/>
        <v>305848</v>
      </c>
    </row>
    <row r="39" spans="1:13" ht="15.75" thickBot="1" x14ac:dyDescent="0.3">
      <c r="C39" s="66">
        <f t="shared" ref="C39:M39" si="8">SUM(C13,C20,C26)</f>
        <v>3150438</v>
      </c>
      <c r="D39" s="66">
        <f t="shared" si="8"/>
        <v>3599812</v>
      </c>
      <c r="E39" s="67">
        <f t="shared" si="8"/>
        <v>3133936</v>
      </c>
      <c r="F39" s="67">
        <f t="shared" si="8"/>
        <v>3846379</v>
      </c>
      <c r="G39" s="68">
        <f t="shared" si="8"/>
        <v>2117112</v>
      </c>
      <c r="H39" s="66">
        <f t="shared" si="8"/>
        <v>660536</v>
      </c>
      <c r="I39" s="67">
        <f t="shared" si="8"/>
        <v>81238</v>
      </c>
      <c r="J39" s="67">
        <f t="shared" si="8"/>
        <v>85412</v>
      </c>
      <c r="K39" s="67">
        <f t="shared" si="8"/>
        <v>31614</v>
      </c>
      <c r="L39" s="68">
        <f t="shared" si="8"/>
        <v>29693</v>
      </c>
      <c r="M39" s="68">
        <f t="shared" si="8"/>
        <v>16736170</v>
      </c>
    </row>
  </sheetData>
  <mergeCells count="7">
    <mergeCell ref="A20:A25"/>
    <mergeCell ref="A26:A38"/>
    <mergeCell ref="B1:L1"/>
    <mergeCell ref="D3:G3"/>
    <mergeCell ref="H3:L3"/>
    <mergeCell ref="A12:C12"/>
    <mergeCell ref="A13:A18"/>
  </mergeCells>
  <pageMargins left="0.7" right="0.7" top="0.75" bottom="0.75" header="0.3" footer="0.3"/>
  <pageSetup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Azim</dc:creator>
  <cp:lastModifiedBy>Azim</cp:lastModifiedBy>
  <cp:lastPrinted>2024-04-30T10:25:06Z</cp:lastPrinted>
  <dcterms:created xsi:type="dcterms:W3CDTF">2015-06-05T18:17:20Z</dcterms:created>
  <dcterms:modified xsi:type="dcterms:W3CDTF">2024-05-02T06:58:16Z</dcterms:modified>
</cp:coreProperties>
</file>