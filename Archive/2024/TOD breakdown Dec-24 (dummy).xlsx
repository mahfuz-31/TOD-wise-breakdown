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D9C2A647-8890-49A4-8B51-4F6CFA97A99B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Sheet1!$B$3:$M$39</definedName>
    <definedName name="_xlnm.Print_Area" localSheetId="0">Sheet1!$A$1:$M$39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M1" i="3"/>
  <c r="H20" i="3"/>
  <c r="M23" i="3"/>
  <c r="H4" i="3"/>
  <c r="M21" i="3"/>
  <c r="M31" i="3"/>
  <c r="J20" i="3"/>
  <c r="M22" i="3"/>
  <c r="E20" i="3"/>
  <c r="M8" i="3"/>
  <c r="M7" i="3"/>
  <c r="M24" i="3" l="1"/>
  <c r="M11" i="3"/>
  <c r="M25" i="3"/>
  <c r="L26" i="3"/>
  <c r="E26" i="3"/>
  <c r="K20" i="3"/>
  <c r="C20" i="3"/>
  <c r="D26" i="3"/>
  <c r="I20" i="3"/>
  <c r="G26" i="3"/>
  <c r="J26" i="3"/>
  <c r="F20" i="3"/>
  <c r="I26" i="3"/>
  <c r="D20" i="3"/>
  <c r="M35" i="3"/>
  <c r="C26" i="3"/>
  <c r="K26" i="3"/>
  <c r="F26" i="3"/>
  <c r="L20" i="3"/>
  <c r="G20" i="3"/>
  <c r="M19" i="3"/>
  <c r="M15" i="3"/>
  <c r="M28" i="3"/>
  <c r="M16" i="3"/>
  <c r="L13" i="3"/>
  <c r="M32" i="3"/>
  <c r="K13" i="3"/>
  <c r="J13" i="3"/>
  <c r="I13" i="3"/>
  <c r="M29" i="3"/>
  <c r="M36" i="3"/>
  <c r="M17" i="3"/>
  <c r="M37" i="3"/>
  <c r="M33" i="3"/>
  <c r="L4" i="3"/>
  <c r="K4" i="3"/>
  <c r="J4" i="3"/>
  <c r="I4" i="3"/>
  <c r="M9" i="3"/>
  <c r="G4" i="3"/>
  <c r="F4" i="3"/>
  <c r="E4" i="3"/>
  <c r="M10" i="3"/>
  <c r="D4" i="3"/>
  <c r="M6" i="3"/>
  <c r="C4" i="3"/>
  <c r="C3" i="3" s="1"/>
  <c r="C13" i="3"/>
  <c r="D13" i="3"/>
  <c r="M34" i="3"/>
  <c r="M30" i="3"/>
  <c r="M38" i="3"/>
  <c r="E13" i="3"/>
  <c r="M27" i="3"/>
  <c r="F13" i="3"/>
  <c r="M18" i="3"/>
  <c r="M14" i="3"/>
  <c r="G13" i="3"/>
  <c r="H26" i="3" l="1"/>
  <c r="J39" i="3"/>
  <c r="L39" i="3"/>
  <c r="H39" i="3"/>
  <c r="E39" i="3"/>
  <c r="I39" i="3"/>
  <c r="K39" i="3"/>
  <c r="M20" i="3"/>
  <c r="I3" i="3"/>
  <c r="D3" i="3"/>
  <c r="M3" i="3"/>
  <c r="C39" i="3"/>
  <c r="D39" i="3"/>
  <c r="M26" i="3"/>
  <c r="M13" i="3"/>
  <c r="F39" i="3"/>
  <c r="G39" i="3"/>
  <c r="M39" i="3" l="1"/>
</calcChain>
</file>

<file path=xl/sharedStrings.xml><?xml version="1.0" encoding="utf-8"?>
<sst xmlns="http://schemas.openxmlformats.org/spreadsheetml/2006/main" count="51" uniqueCount="49">
  <si>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</si>
  <si>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</si>
  <si>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</si>
  <si>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</si>
  <si>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</si>
  <si>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</si>
  <si>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</si>
  <si>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</si>
  <si>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</si>
  <si>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</si>
  <si>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</si>
  <si>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</si>
  <si>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</si>
  <si>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</si>
  <si>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</si>
  <si>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</si>
  <si>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</si>
  <si>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</si>
  <si>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</si>
  <si>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</si>
  <si>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</si>
  <si>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</si>
  <si>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</si>
  <si>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</si>
  <si>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</si>
  <si>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</si>
  <si>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</si>
  <si>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</si>
  <si>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</si>
  <si>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</si>
  <si>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</si>
  <si>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</si>
  <si>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</si>
  <si>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</si>
  <si>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</si>
  <si>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</si>
  <si>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</si>
  <si>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</si>
  <si>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JKL2</t>
  </si>
  <si>
    <t>Before Dec</t>
  </si>
  <si>
    <t>1-7/Dec</t>
  </si>
  <si>
    <t>8-15/Dec</t>
  </si>
  <si>
    <t>16-23/Dec</t>
  </si>
  <si>
    <t>24-31/Dec</t>
  </si>
  <si>
    <t>1-5/Jan</t>
  </si>
  <si>
    <t>6-10/Jan</t>
  </si>
  <si>
    <t>11-20/Jan</t>
  </si>
  <si>
    <t>21-31/Jan</t>
  </si>
  <si>
    <t>Dec-24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</si>
</sst>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8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3" fontId="3" fillId="3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1" applyAlignment="1">
      <alignment horizontal="center"/>
    </xf>
    <xf numFmtId="168" fontId="2" fillId="0" borderId="0" xfId="0" applyNumberFormat="1" applyFont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39"/>
  <sheetViews>
    <sheetView tabSelected="1" topLeftCell="A17" zoomScaleNormal="100" workbookViewId="0">
      <selection activeCell="H14" sqref="H14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8" width="12.140625" style="1" customWidth="1"/>
    <col min="9" max="9" width="13.28515625" style="1" customWidth="1"/>
    <col min="10" max="10" width="11.42578125" style="1" customWidth="1"/>
    <col min="11" max="11" width="11" style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8" t="s">
        <v>48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9">
        <f ca="1">TODAY()</f>
        <v>45612</v>
      </c>
    </row>
    <row r="2" spans="1:13" x14ac:dyDescent="0.25">
      <c r="A2" s="2" t="s">
        <v>0</v>
      </c>
    </row>
    <row r="3" spans="1:13" ht="15.75" x14ac:dyDescent="0.25">
      <c r="B3" s="18" t="s">
        <v>1</v>
      </c>
      <c r="C3" s="3">
        <f>C4</f>
        <v>1333572</v>
      </c>
      <c r="D3" s="23">
        <f>SUM(D4:G4)</f>
        <v>10649260</v>
      </c>
      <c r="E3" s="23"/>
      <c r="F3" s="23"/>
      <c r="G3" s="23"/>
      <c r="H3" s="16"/>
      <c r="I3" s="23">
        <f>SUM(I4:L4)</f>
        <v>258643</v>
      </c>
      <c r="J3" s="23"/>
      <c r="K3" s="23"/>
      <c r="L3" s="23"/>
      <c r="M3" s="19">
        <f>SUM(M6:M11)</f>
        <v>12512744</v>
      </c>
    </row>
    <row r="4" spans="1:13" x14ac:dyDescent="0.25">
      <c r="B4" s="18"/>
      <c r="C4" s="4">
        <f>SUM(C6:C11)</f>
        <v>1333572</v>
      </c>
      <c r="D4" s="4">
        <f t="shared" ref="D4:I4" si="0">SUM(D6:D11)</f>
        <v>2805082</v>
      </c>
      <c r="E4" s="4">
        <f t="shared" si="0"/>
        <v>3241777</v>
      </c>
      <c r="F4" s="4">
        <f t="shared" si="0"/>
        <v>3092190</v>
      </c>
      <c r="G4" s="4">
        <f t="shared" si="0"/>
        <v>1510211</v>
      </c>
      <c r="H4" s="4">
        <f t="shared" si="0"/>
        <v>271269</v>
      </c>
      <c r="I4" s="4">
        <f t="shared" si="0"/>
        <v>84252</v>
      </c>
      <c r="J4" s="4">
        <f>SUM(J6:J11)</f>
        <v>63601</v>
      </c>
      <c r="K4" s="4">
        <f>SUM(K6:K11)</f>
        <v>37705</v>
      </c>
      <c r="L4" s="4">
        <f>SUM(L6:L11)</f>
        <v>73085</v>
      </c>
      <c r="M4" s="19"/>
    </row>
    <row r="5" spans="1:13" ht="15.75" customHeight="1" x14ac:dyDescent="0.25">
      <c r="B5" s="5" t="s">
        <v>2</v>
      </c>
      <c r="C5" s="6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405137</v>
      </c>
      <c r="D6" s="9">
        <v>306129</v>
      </c>
      <c r="E6" s="9">
        <v>697379</v>
      </c>
      <c r="F6" s="9">
        <v>476208</v>
      </c>
      <c r="G6" s="9">
        <v>272387</v>
      </c>
      <c r="H6" s="8"/>
      <c r="I6" s="8"/>
      <c r="J6" s="8"/>
      <c r="K6" s="8"/>
      <c r="L6" s="8"/>
      <c r="M6" s="9">
        <f>SUM(C6:L6)</f>
        <v>2157240</v>
      </c>
    </row>
    <row r="7" spans="1:13" x14ac:dyDescent="0.25">
      <c r="B7" s="11" t="s">
        <v>6</v>
      </c>
      <c r="C7" s="10">
        <v>17659</v>
      </c>
      <c r="D7" s="10">
        <v>578635</v>
      </c>
      <c r="E7" s="10">
        <v>361212</v>
      </c>
      <c r="F7" s="10">
        <v>420371</v>
      </c>
      <c r="G7" s="10">
        <v>530579</v>
      </c>
      <c r="H7" s="10">
        <v>24401</v>
      </c>
      <c r="I7" s="10"/>
      <c r="J7" s="11"/>
      <c r="K7" s="10"/>
      <c r="L7" s="10"/>
      <c r="M7" s="10">
        <f>SUM(C7:L7)</f>
        <v>1932857</v>
      </c>
    </row>
    <row r="8" spans="1:13" x14ac:dyDescent="0.25">
      <c r="B8" s="14" t="s">
        <v>7</v>
      </c>
      <c r="C8" s="8">
        <v>113844</v>
      </c>
      <c r="D8" s="9">
        <v>242224</v>
      </c>
      <c r="E8" s="9">
        <v>326975</v>
      </c>
      <c r="F8" s="9">
        <v>403213</v>
      </c>
      <c r="G8" s="9">
        <v>112760</v>
      </c>
      <c r="H8" s="8">
        <v>49218</v>
      </c>
      <c r="I8" s="8">
        <v>17588</v>
      </c>
      <c r="J8" s="8">
        <v>33375</v>
      </c>
      <c r="K8" s="8">
        <v>27965</v>
      </c>
      <c r="L8" s="8">
        <v>62535</v>
      </c>
      <c r="M8" s="9">
        <f>SUM(C8:L8)</f>
        <v>1389697</v>
      </c>
    </row>
    <row r="9" spans="1:13" x14ac:dyDescent="0.25">
      <c r="B9" s="11" t="s">
        <v>8</v>
      </c>
      <c r="C9" s="10">
        <v>389964</v>
      </c>
      <c r="D9" s="10">
        <v>745433</v>
      </c>
      <c r="E9" s="10">
        <v>355659</v>
      </c>
      <c r="F9" s="10">
        <v>664155</v>
      </c>
      <c r="G9" s="10">
        <v>179811</v>
      </c>
      <c r="H9" s="10">
        <v>66331</v>
      </c>
      <c r="I9" s="10">
        <v>725</v>
      </c>
      <c r="J9" s="11">
        <v>23780</v>
      </c>
      <c r="K9" s="10">
        <v>9740</v>
      </c>
      <c r="L9" s="10">
        <v>8940</v>
      </c>
      <c r="M9" s="10">
        <f>SUM(C9:L9)</f>
        <v>2444538</v>
      </c>
    </row>
    <row r="10" spans="1:13" x14ac:dyDescent="0.25">
      <c r="B10" s="14" t="s">
        <v>9</v>
      </c>
      <c r="C10" s="8">
        <v>176607</v>
      </c>
      <c r="D10" s="9">
        <v>267640</v>
      </c>
      <c r="E10" s="9">
        <v>822234</v>
      </c>
      <c r="F10" s="9">
        <v>682995</v>
      </c>
      <c r="G10" s="9">
        <v>135961</v>
      </c>
      <c r="H10" s="8">
        <v>7089</v>
      </c>
      <c r="I10" s="8">
        <v>34102</v>
      </c>
      <c r="J10" s="8">
        <v>2694</v>
      </c>
      <c r="K10" s="8"/>
      <c r="L10" s="8"/>
      <c r="M10" s="9">
        <f>SUM(C10:L10)</f>
        <v>2129322</v>
      </c>
    </row>
    <row r="11" spans="1:13" x14ac:dyDescent="0.25">
      <c r="B11" s="11" t="s">
        <v>38</v>
      </c>
      <c r="C11" s="10">
        <v>230361</v>
      </c>
      <c r="D11" s="10">
        <v>665021</v>
      </c>
      <c r="E11" s="10">
        <v>678318</v>
      </c>
      <c r="F11" s="10">
        <v>445248</v>
      </c>
      <c r="G11" s="10">
        <v>278713</v>
      </c>
      <c r="H11" s="10">
        <v>124230</v>
      </c>
      <c r="I11" s="10">
        <v>31837</v>
      </c>
      <c r="J11" s="11">
        <v>3752</v>
      </c>
      <c r="K11" s="10"/>
      <c r="L11" s="10">
        <v>1610</v>
      </c>
      <c r="M11" s="10">
        <f>SUM(C11:L11)</f>
        <v>2459090</v>
      </c>
    </row>
    <row r="12" spans="1:13" x14ac:dyDescent="0.25">
      <c r="A12" s="24" t="s">
        <v>10</v>
      </c>
      <c r="B12" s="24"/>
      <c r="C12" s="24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0" t="s">
        <v>11</v>
      </c>
      <c r="B13" s="13" t="s">
        <v>12</v>
      </c>
      <c r="C13" s="4">
        <f t="shared" ref="C13:M13" si="1">SUM(C14:C19)</f>
        <v>422270</v>
      </c>
      <c r="D13" s="4">
        <f t="shared" si="1"/>
        <v>1279039</v>
      </c>
      <c r="E13" s="4">
        <f t="shared" si="1"/>
        <v>657164</v>
      </c>
      <c r="F13" s="4">
        <f t="shared" si="1"/>
        <v>1105427</v>
      </c>
      <c r="G13" s="4">
        <f t="shared" si="1"/>
        <v>766473</v>
      </c>
      <c r="H13" s="4">
        <f>SUM(H14:H19)</f>
        <v>224875</v>
      </c>
      <c r="I13" s="4">
        <f t="shared" si="1"/>
        <v>2153</v>
      </c>
      <c r="J13" s="4">
        <f t="shared" si="1"/>
        <v>57155</v>
      </c>
      <c r="K13" s="4">
        <f t="shared" si="1"/>
        <v>37705</v>
      </c>
      <c r="L13" s="4">
        <f t="shared" si="1"/>
        <v>71475</v>
      </c>
      <c r="M13" s="4">
        <f t="shared" si="1"/>
        <v>4623736</v>
      </c>
    </row>
    <row r="14" spans="1:13" x14ac:dyDescent="0.25">
      <c r="A14" s="21"/>
      <c r="B14" s="14" t="s">
        <v>19</v>
      </c>
      <c r="C14" s="8">
        <v>296907</v>
      </c>
      <c r="D14" s="9">
        <v>923881</v>
      </c>
      <c r="E14" s="9">
        <v>596267</v>
      </c>
      <c r="F14" s="9">
        <v>782291</v>
      </c>
      <c r="G14" s="9">
        <v>681987</v>
      </c>
      <c r="H14" s="8">
        <v>122626</v>
      </c>
      <c r="I14" s="8"/>
      <c r="J14" s="8">
        <v>57155</v>
      </c>
      <c r="K14" s="8">
        <v>37705</v>
      </c>
      <c r="L14" s="8">
        <v>71475</v>
      </c>
      <c r="M14" s="9">
        <f>SUM(C14:L14)</f>
        <v>3570294</v>
      </c>
    </row>
    <row r="15" spans="1:13" x14ac:dyDescent="0.25">
      <c r="A15" s="21"/>
      <c r="B15" s="11" t="s">
        <v>20</v>
      </c>
      <c r="C15" s="10">
        <v>2271</v>
      </c>
      <c r="D15" s="10">
        <v>194133</v>
      </c>
      <c r="E15" s="10">
        <v>18336</v>
      </c>
      <c r="F15" s="10">
        <v>54765</v>
      </c>
      <c r="G15" s="10">
        <v>77082</v>
      </c>
      <c r="H15" s="10">
        <v>102249</v>
      </c>
      <c r="I15" s="10"/>
      <c r="J15" s="10"/>
      <c r="K15" s="10"/>
      <c r="L15" s="10"/>
      <c r="M15" s="10">
        <f>SUM(C15:L15)</f>
        <v>448836</v>
      </c>
    </row>
    <row r="16" spans="1:13" x14ac:dyDescent="0.25">
      <c r="A16" s="21"/>
      <c r="B16" s="14" t="s">
        <v>26</v>
      </c>
      <c r="C16" s="8"/>
      <c r="D16" s="9">
        <v>13044</v>
      </c>
      <c r="E16" s="9">
        <v>11878</v>
      </c>
      <c r="F16" s="9">
        <v>24075</v>
      </c>
      <c r="G16" s="9">
        <v>1411</v>
      </c>
      <c r="H16" s="8"/>
      <c r="I16" s="8">
        <v>1428</v>
      </c>
      <c r="J16" s="8"/>
      <c r="K16" s="8"/>
      <c r="L16" s="8"/>
      <c r="M16" s="9">
        <f>SUM(C16:L16)</f>
        <v>51836</v>
      </c>
    </row>
    <row r="17" spans="1:13" x14ac:dyDescent="0.25">
      <c r="A17" s="21"/>
      <c r="B17" s="11" t="s">
        <v>29</v>
      </c>
      <c r="C17" s="10">
        <v>123092</v>
      </c>
      <c r="D17" s="10">
        <v>147981</v>
      </c>
      <c r="E17" s="10">
        <v>30683</v>
      </c>
      <c r="F17" s="10">
        <v>244296</v>
      </c>
      <c r="G17" s="10">
        <v>5993</v>
      </c>
      <c r="H17" s="10"/>
      <c r="I17" s="10">
        <v>725</v>
      </c>
      <c r="J17" s="10"/>
      <c r="K17" s="10"/>
      <c r="L17" s="10"/>
      <c r="M17" s="10">
        <f>SUM(C17:L17)</f>
        <v>552770</v>
      </c>
    </row>
    <row r="18" spans="1:13" x14ac:dyDescent="0.25">
      <c r="A18" s="21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>SUM(C18:L18)</f>
        <v>0</v>
      </c>
    </row>
    <row r="19" spans="1:13" x14ac:dyDescent="0.25">
      <c r="A19" s="22"/>
      <c r="B19" s="11" t="s">
        <v>35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>SUM(C19:L19)</f>
        <v>0</v>
      </c>
    </row>
    <row r="20" spans="1:13" ht="15" customHeight="1" x14ac:dyDescent="0.25">
      <c r="A20" s="25" t="s">
        <v>13</v>
      </c>
      <c r="B20" s="13" t="s">
        <v>12</v>
      </c>
      <c r="C20" s="4">
        <f>SUM(C21:C25)</f>
        <v>794172</v>
      </c>
      <c r="D20" s="4">
        <f t="shared" ref="D20:L20" si="2">SUM(D21:D25)</f>
        <v>851287</v>
      </c>
      <c r="E20" s="4">
        <f t="shared" si="2"/>
        <v>2045034</v>
      </c>
      <c r="F20" s="4">
        <f t="shared" si="2"/>
        <v>1385700</v>
      </c>
      <c r="G20" s="4">
        <f t="shared" si="2"/>
        <v>627801</v>
      </c>
      <c r="H20" s="4">
        <f t="shared" si="2"/>
        <v>16979</v>
      </c>
      <c r="I20" s="4">
        <f t="shared" si="2"/>
        <v>64511</v>
      </c>
      <c r="J20" s="4">
        <f t="shared" si="2"/>
        <v>2694</v>
      </c>
      <c r="K20" s="4">
        <f t="shared" si="2"/>
        <v>0</v>
      </c>
      <c r="L20" s="4">
        <f t="shared" si="2"/>
        <v>0</v>
      </c>
      <c r="M20" s="4">
        <f t="shared" ref="M20" si="3">SUM(M21:M25)</f>
        <v>5788178</v>
      </c>
    </row>
    <row r="21" spans="1:13" x14ac:dyDescent="0.25">
      <c r="A21" s="26"/>
      <c r="B21" s="14" t="s">
        <v>21</v>
      </c>
      <c r="C21" s="8">
        <v>473790</v>
      </c>
      <c r="D21" s="9">
        <v>545929</v>
      </c>
      <c r="E21" s="9">
        <v>787942</v>
      </c>
      <c r="F21" s="9">
        <v>536451</v>
      </c>
      <c r="G21" s="9">
        <v>475487</v>
      </c>
      <c r="H21" s="8">
        <v>9890</v>
      </c>
      <c r="I21" s="8">
        <v>30409</v>
      </c>
      <c r="J21" s="8"/>
      <c r="K21" s="8"/>
      <c r="L21" s="8"/>
      <c r="M21" s="9">
        <f>SUM(C21:L21)</f>
        <v>2859898</v>
      </c>
    </row>
    <row r="22" spans="1:13" x14ac:dyDescent="0.25">
      <c r="A22" s="26"/>
      <c r="B22" s="11" t="s">
        <v>24</v>
      </c>
      <c r="C22" s="10">
        <v>277747</v>
      </c>
      <c r="D22" s="10">
        <v>305358</v>
      </c>
      <c r="E22" s="10">
        <v>1209799</v>
      </c>
      <c r="F22" s="10">
        <v>838039</v>
      </c>
      <c r="G22" s="10">
        <v>141621</v>
      </c>
      <c r="H22" s="10">
        <v>7089</v>
      </c>
      <c r="I22" s="10">
        <v>34102</v>
      </c>
      <c r="J22" s="10">
        <v>2694</v>
      </c>
      <c r="K22" s="10"/>
      <c r="L22" s="10"/>
      <c r="M22" s="10">
        <f>SUM(C22:L22)</f>
        <v>2816449</v>
      </c>
    </row>
    <row r="23" spans="1:13" x14ac:dyDescent="0.25">
      <c r="A23" s="26"/>
      <c r="B23" s="14" t="s">
        <v>30</v>
      </c>
      <c r="C23" s="8">
        <v>42635</v>
      </c>
      <c r="D23" s="9"/>
      <c r="E23" s="9">
        <v>47293</v>
      </c>
      <c r="F23" s="9">
        <v>11210</v>
      </c>
      <c r="G23" s="9">
        <v>10693</v>
      </c>
      <c r="H23" s="8"/>
      <c r="I23" s="8"/>
      <c r="J23" s="8"/>
      <c r="K23" s="8"/>
      <c r="L23" s="8"/>
      <c r="M23" s="9">
        <f>SUM(C23:L23)</f>
        <v>111831</v>
      </c>
    </row>
    <row r="24" spans="1:13" x14ac:dyDescent="0.25">
      <c r="A24" s="26"/>
      <c r="B24" s="11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f>SUM(C24:L24)</f>
        <v>0</v>
      </c>
    </row>
    <row r="25" spans="1:13" x14ac:dyDescent="0.25">
      <c r="A25" s="27"/>
      <c r="B25" s="14" t="s">
        <v>37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7" t="s">
        <v>14</v>
      </c>
      <c r="B26" s="13" t="s">
        <v>12</v>
      </c>
      <c r="C26" s="4">
        <f>SUM(C27:C38)</f>
        <v>117131</v>
      </c>
      <c r="D26" s="4">
        <f t="shared" ref="D26:L26" si="4">SUM(D27:D38)</f>
        <v>674756</v>
      </c>
      <c r="E26" s="4">
        <f t="shared" si="4"/>
        <v>539579</v>
      </c>
      <c r="F26" s="4">
        <f t="shared" si="4"/>
        <v>601063</v>
      </c>
      <c r="G26" s="4">
        <f t="shared" si="4"/>
        <v>115938</v>
      </c>
      <c r="H26" s="4">
        <f t="shared" ref="H13:H26" si="5">SUM(D26:G26)</f>
        <v>1931336</v>
      </c>
      <c r="I26" s="4">
        <f t="shared" si="4"/>
        <v>17588</v>
      </c>
      <c r="J26" s="4">
        <f t="shared" si="4"/>
        <v>3752</v>
      </c>
      <c r="K26" s="4">
        <f t="shared" si="4"/>
        <v>0</v>
      </c>
      <c r="L26" s="4">
        <f t="shared" si="4"/>
        <v>1610</v>
      </c>
      <c r="M26" s="4">
        <f t="shared" ref="M26" si="6">SUM(M27:M38)</f>
        <v>2100832</v>
      </c>
    </row>
    <row r="27" spans="1:13" x14ac:dyDescent="0.25">
      <c r="A27" s="17"/>
      <c r="B27" s="14" t="s">
        <v>32</v>
      </c>
      <c r="C27" s="8"/>
      <c r="D27" s="9">
        <v>20880</v>
      </c>
      <c r="E27" s="9"/>
      <c r="F27" s="9"/>
      <c r="G27" s="9"/>
      <c r="H27" s="8"/>
      <c r="I27" s="8"/>
      <c r="J27" s="8"/>
      <c r="K27" s="8"/>
      <c r="L27" s="8"/>
      <c r="M27" s="9">
        <f>SUM(C27:L27)</f>
        <v>20880</v>
      </c>
    </row>
    <row r="28" spans="1:13" x14ac:dyDescent="0.25">
      <c r="A28" s="17"/>
      <c r="B28" s="14" t="s">
        <v>22</v>
      </c>
      <c r="C28" s="8">
        <v>480</v>
      </c>
      <c r="D28" s="9">
        <v>16344</v>
      </c>
      <c r="E28" s="9"/>
      <c r="F28" s="9"/>
      <c r="G28" s="9"/>
      <c r="H28" s="8"/>
      <c r="I28" s="8"/>
      <c r="J28" s="8"/>
      <c r="K28" s="8"/>
      <c r="L28" s="8"/>
      <c r="M28" s="9">
        <f>SUM(C28:L28)</f>
        <v>16824</v>
      </c>
    </row>
    <row r="29" spans="1:13" x14ac:dyDescent="0.25">
      <c r="A29" s="17"/>
      <c r="B29" s="11" t="s">
        <v>23</v>
      </c>
      <c r="C29" s="10">
        <v>12527</v>
      </c>
      <c r="D29" s="10">
        <v>8339</v>
      </c>
      <c r="E29" s="10">
        <v>7719</v>
      </c>
      <c r="F29" s="10">
        <v>103144</v>
      </c>
      <c r="G29" s="10">
        <v>10426</v>
      </c>
      <c r="H29" s="10">
        <v>3693</v>
      </c>
      <c r="I29" s="10"/>
      <c r="J29" s="10">
        <v>1202</v>
      </c>
      <c r="K29" s="10"/>
      <c r="L29" s="10"/>
      <c r="M29" s="10">
        <f>SUM(C29:L29)</f>
        <v>147050</v>
      </c>
    </row>
    <row r="30" spans="1:13" x14ac:dyDescent="0.25">
      <c r="A30" s="17"/>
      <c r="B30" s="14" t="s">
        <v>25</v>
      </c>
      <c r="C30" s="8">
        <v>1076</v>
      </c>
      <c r="D30" s="9"/>
      <c r="E30" s="9">
        <v>41640</v>
      </c>
      <c r="F30" s="9">
        <v>97029</v>
      </c>
      <c r="G30" s="9">
        <v>22288</v>
      </c>
      <c r="H30" s="8"/>
      <c r="I30" s="8"/>
      <c r="J30" s="8"/>
      <c r="K30" s="8"/>
      <c r="L30" s="8"/>
      <c r="M30" s="9">
        <f>SUM(C30:L30)</f>
        <v>162033</v>
      </c>
    </row>
    <row r="31" spans="1:13" x14ac:dyDescent="0.25">
      <c r="A31" s="17"/>
      <c r="B31" s="11" t="s">
        <v>15</v>
      </c>
      <c r="C31" s="10"/>
      <c r="D31" s="10"/>
      <c r="E31" s="10">
        <v>7670</v>
      </c>
      <c r="F31" s="10"/>
      <c r="G31" s="10"/>
      <c r="H31" s="10"/>
      <c r="I31" s="10"/>
      <c r="J31" s="10"/>
      <c r="K31" s="10"/>
      <c r="L31" s="10"/>
      <c r="M31" s="10">
        <f>SUM(C31:L31)</f>
        <v>7670</v>
      </c>
    </row>
    <row r="32" spans="1:13" x14ac:dyDescent="0.25">
      <c r="A32" s="17"/>
      <c r="B32" s="14" t="s">
        <v>16</v>
      </c>
      <c r="C32" s="8"/>
      <c r="D32" s="9"/>
      <c r="E32" s="9">
        <v>219005</v>
      </c>
      <c r="F32" s="9"/>
      <c r="G32" s="9"/>
      <c r="H32" s="8"/>
      <c r="I32" s="8"/>
      <c r="J32" s="8"/>
      <c r="K32" s="8"/>
      <c r="L32" s="8"/>
      <c r="M32" s="9">
        <f>SUM(C32:L32)</f>
        <v>219005</v>
      </c>
    </row>
    <row r="33" spans="1:13" x14ac:dyDescent="0.25">
      <c r="A33" s="17"/>
      <c r="B33" s="11" t="s">
        <v>27</v>
      </c>
      <c r="C33" s="10">
        <v>10562</v>
      </c>
      <c r="D33" s="10"/>
      <c r="E33" s="10">
        <v>35619</v>
      </c>
      <c r="F33" s="10">
        <v>11599</v>
      </c>
      <c r="G33" s="10">
        <v>46074</v>
      </c>
      <c r="H33" s="10"/>
      <c r="I33" s="10"/>
      <c r="J33" s="10"/>
      <c r="K33" s="10"/>
      <c r="L33" s="10"/>
      <c r="M33" s="10">
        <f>SUM(C33:L33)</f>
        <v>103854</v>
      </c>
    </row>
    <row r="34" spans="1:13" x14ac:dyDescent="0.25">
      <c r="A34" s="17"/>
      <c r="B34" s="14" t="s">
        <v>17</v>
      </c>
      <c r="C34" s="8">
        <v>61820</v>
      </c>
      <c r="D34" s="9">
        <v>577996</v>
      </c>
      <c r="E34" s="9"/>
      <c r="F34" s="9">
        <v>185618</v>
      </c>
      <c r="G34" s="9"/>
      <c r="H34" s="8">
        <v>25722</v>
      </c>
      <c r="I34" s="8"/>
      <c r="J34" s="8">
        <v>2550</v>
      </c>
      <c r="K34" s="8"/>
      <c r="L34" s="8">
        <v>1610</v>
      </c>
      <c r="M34" s="9">
        <f>SUM(C34:L34)</f>
        <v>855316</v>
      </c>
    </row>
    <row r="35" spans="1:13" x14ac:dyDescent="0.25">
      <c r="A35" s="17"/>
      <c r="B35" s="11" t="s">
        <v>28</v>
      </c>
      <c r="C35" s="10">
        <v>27492</v>
      </c>
      <c r="D35" s="10">
        <v>6894</v>
      </c>
      <c r="E35" s="10">
        <v>34378</v>
      </c>
      <c r="F35" s="10">
        <v>32954</v>
      </c>
      <c r="G35" s="10">
        <v>36132</v>
      </c>
      <c r="H35" s="10"/>
      <c r="I35" s="10">
        <v>17588</v>
      </c>
      <c r="J35" s="10"/>
      <c r="K35" s="10"/>
      <c r="L35" s="10"/>
      <c r="M35" s="10">
        <f>SUM(C35:L35)</f>
        <v>155438</v>
      </c>
    </row>
    <row r="36" spans="1:13" x14ac:dyDescent="0.25">
      <c r="A36" s="17"/>
      <c r="B36" s="14" t="s">
        <v>33</v>
      </c>
      <c r="C36" s="8"/>
      <c r="D36" s="9">
        <v>24114</v>
      </c>
      <c r="E36" s="9">
        <v>193548</v>
      </c>
      <c r="F36" s="9">
        <v>170719</v>
      </c>
      <c r="G36" s="9">
        <v>1018</v>
      </c>
      <c r="H36" s="8"/>
      <c r="I36" s="8"/>
      <c r="J36" s="8"/>
      <c r="K36" s="8"/>
      <c r="L36" s="8"/>
      <c r="M36" s="9">
        <f>SUM(C36:L36)</f>
        <v>389399</v>
      </c>
    </row>
    <row r="37" spans="1:13" x14ac:dyDescent="0.25">
      <c r="A37" s="17"/>
      <c r="B37" s="11" t="s">
        <v>34</v>
      </c>
      <c r="C37" s="10">
        <v>3174</v>
      </c>
      <c r="D37" s="10">
        <v>20189</v>
      </c>
      <c r="E37" s="10"/>
      <c r="F37" s="10"/>
      <c r="G37" s="10"/>
      <c r="H37" s="10"/>
      <c r="I37" s="10"/>
      <c r="J37" s="10"/>
      <c r="K37" s="10"/>
      <c r="L37" s="10"/>
      <c r="M37" s="10">
        <f>SUM(C37:L37)</f>
        <v>23363</v>
      </c>
    </row>
    <row r="38" spans="1:13" x14ac:dyDescent="0.25">
      <c r="A38" s="17"/>
      <c r="B38" s="14" t="s">
        <v>36</v>
      </c>
      <c r="C38" s="8"/>
      <c r="D38" s="9"/>
      <c r="E38" s="9"/>
      <c r="F38" s="9"/>
      <c r="G38" s="9"/>
      <c r="H38" s="8"/>
      <c r="I38" s="8"/>
      <c r="J38" s="8"/>
      <c r="K38" s="8"/>
      <c r="L38" s="8"/>
      <c r="M38" s="9">
        <f>SUM(C38:L38)</f>
        <v>0</v>
      </c>
    </row>
    <row r="39" spans="1:13" x14ac:dyDescent="0.25">
      <c r="A39" s="14"/>
      <c r="B39" s="14"/>
      <c r="C39" s="15">
        <f t="shared" ref="C39:M39" si="7">SUM(C13,C20,C26)</f>
        <v>1333573</v>
      </c>
      <c r="D39" s="15">
        <f t="shared" si="7"/>
        <v>2805082</v>
      </c>
      <c r="E39" s="15">
        <f t="shared" si="7"/>
        <v>3241777</v>
      </c>
      <c r="F39" s="15">
        <f t="shared" si="7"/>
        <v>3092190</v>
      </c>
      <c r="G39" s="15">
        <f t="shared" si="7"/>
        <v>1510212</v>
      </c>
      <c r="H39" s="15">
        <f t="shared" si="7"/>
        <v>2173190</v>
      </c>
      <c r="I39" s="15">
        <f t="shared" si="7"/>
        <v>84252</v>
      </c>
      <c r="J39" s="15">
        <f t="shared" si="7"/>
        <v>63601</v>
      </c>
      <c r="K39" s="15">
        <f t="shared" si="7"/>
        <v>37705</v>
      </c>
      <c r="L39" s="15">
        <f t="shared" si="7"/>
        <v>73085</v>
      </c>
      <c r="M39" s="15">
        <f t="shared" si="7"/>
        <v>12512746</v>
      </c>
    </row>
  </sheetData>
  <mergeCells count="9">
    <mergeCell ref="A26:A38"/>
    <mergeCell ref="B3:B4"/>
    <mergeCell ref="M3:M4"/>
    <mergeCell ref="A13:A19"/>
    <mergeCell ref="B1:L1"/>
    <mergeCell ref="D3:G3"/>
    <mergeCell ref="I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" formulaRange="1"/>
    <ignoredError sqref="D5:K5" twoDigitTextYear="1"/>
    <ignoredError sqref="M26 I20:L20 I26:L26 C26:G26 C20:H20 M20" formula="1"/>
    <ignoredError sqref="H26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2024-11-16T05:46:13Z</cp:lastPrinted>
  <dcterms:created xsi:type="dcterms:W3CDTF">2015-06-05T18:17:20Z</dcterms:created>
  <dcterms:modified xsi:type="dcterms:W3CDTF">2024-11-16T05:47:58Z</dcterms:modified>
</cp:coreProperties>
</file>