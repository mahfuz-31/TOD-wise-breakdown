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13_ncr:1_{05A5E122-01CF-4EB7-9C49-23FAAF2EB64A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externalReferences>
    <externalReference r:id="rId2"/>
  </externalReferences>
  <definedNames>
    <definedName name="_xlnm._FilterDatabase" localSheetId="0" hidden="1">Sheet1!$B$3:$M$39</definedName>
    <definedName name="_xlnm.Print_Area" localSheetId="0">Sheet1!$A$1:$M$39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3" l="1"/>
  <c r="E26" i="3"/>
  <c r="F26" i="3"/>
  <c r="G26" i="3"/>
  <c r="H26" i="3"/>
  <c r="I26" i="3"/>
  <c r="J26" i="3"/>
  <c r="K26" i="3"/>
  <c r="L26" i="3"/>
  <c r="C26" i="3"/>
  <c r="D20" i="3"/>
  <c r="E20" i="3"/>
  <c r="F20" i="3"/>
  <c r="G20" i="3"/>
  <c r="H20" i="3"/>
  <c r="I20" i="3"/>
  <c r="J20" i="3"/>
  <c r="K20" i="3"/>
  <c r="L20" i="3"/>
  <c r="C20" i="3"/>
  <c r="D15" i="3"/>
  <c r="E15" i="3"/>
  <c r="F15" i="3"/>
  <c r="G15" i="3"/>
  <c r="M15" i="3" s="1"/>
  <c r="H15" i="3"/>
  <c r="I15" i="3"/>
  <c r="J15" i="3"/>
  <c r="K15" i="3"/>
  <c r="L15" i="3"/>
  <c r="D16" i="3"/>
  <c r="E16" i="3"/>
  <c r="F16" i="3"/>
  <c r="G16" i="3"/>
  <c r="H16" i="3"/>
  <c r="I16" i="3"/>
  <c r="J16" i="3"/>
  <c r="K16" i="3"/>
  <c r="L16" i="3"/>
  <c r="D17" i="3"/>
  <c r="E17" i="3"/>
  <c r="F17" i="3"/>
  <c r="G17" i="3"/>
  <c r="H17" i="3"/>
  <c r="I17" i="3"/>
  <c r="J17" i="3"/>
  <c r="K17" i="3"/>
  <c r="L17" i="3"/>
  <c r="D18" i="3"/>
  <c r="E18" i="3"/>
  <c r="F18" i="3"/>
  <c r="G18" i="3"/>
  <c r="H18" i="3"/>
  <c r="I18" i="3"/>
  <c r="J18" i="3"/>
  <c r="K18" i="3"/>
  <c r="L18" i="3"/>
  <c r="D19" i="3"/>
  <c r="E19" i="3"/>
  <c r="F19" i="3"/>
  <c r="G19" i="3"/>
  <c r="M19" i="3" s="1"/>
  <c r="H19" i="3"/>
  <c r="I19" i="3"/>
  <c r="J19" i="3"/>
  <c r="K19" i="3"/>
  <c r="L19" i="3"/>
  <c r="D21" i="3"/>
  <c r="E21" i="3"/>
  <c r="F21" i="3"/>
  <c r="G21" i="3"/>
  <c r="H21" i="3"/>
  <c r="I21" i="3"/>
  <c r="J21" i="3"/>
  <c r="K21" i="3"/>
  <c r="L21" i="3"/>
  <c r="D22" i="3"/>
  <c r="E22" i="3"/>
  <c r="F22" i="3"/>
  <c r="G22" i="3"/>
  <c r="H22" i="3"/>
  <c r="I22" i="3"/>
  <c r="J22" i="3"/>
  <c r="K22" i="3"/>
  <c r="L22" i="3"/>
  <c r="D23" i="3"/>
  <c r="E23" i="3"/>
  <c r="F23" i="3"/>
  <c r="G23" i="3"/>
  <c r="M23" i="3" s="1"/>
  <c r="H23" i="3"/>
  <c r="I23" i="3"/>
  <c r="J23" i="3"/>
  <c r="K23" i="3"/>
  <c r="L23" i="3"/>
  <c r="D24" i="3"/>
  <c r="E24" i="3"/>
  <c r="F24" i="3"/>
  <c r="M24" i="3" s="1"/>
  <c r="G24" i="3"/>
  <c r="H24" i="3"/>
  <c r="I24" i="3"/>
  <c r="J24" i="3"/>
  <c r="K24" i="3"/>
  <c r="L24" i="3"/>
  <c r="D25" i="3"/>
  <c r="E25" i="3"/>
  <c r="F25" i="3"/>
  <c r="G25" i="3"/>
  <c r="H25" i="3"/>
  <c r="I25" i="3"/>
  <c r="J25" i="3"/>
  <c r="K25" i="3"/>
  <c r="L25" i="3"/>
  <c r="D27" i="3"/>
  <c r="E27" i="3"/>
  <c r="F27" i="3"/>
  <c r="G27" i="3"/>
  <c r="H27" i="3"/>
  <c r="I27" i="3"/>
  <c r="J27" i="3"/>
  <c r="K27" i="3"/>
  <c r="L27" i="3"/>
  <c r="D28" i="3"/>
  <c r="E28" i="3"/>
  <c r="F28" i="3"/>
  <c r="G28" i="3"/>
  <c r="H28" i="3"/>
  <c r="I28" i="3"/>
  <c r="J28" i="3"/>
  <c r="K28" i="3"/>
  <c r="L28" i="3"/>
  <c r="D29" i="3"/>
  <c r="E29" i="3"/>
  <c r="F29" i="3"/>
  <c r="G29" i="3"/>
  <c r="H29" i="3"/>
  <c r="I29" i="3"/>
  <c r="J29" i="3"/>
  <c r="K29" i="3"/>
  <c r="L29" i="3"/>
  <c r="D30" i="3"/>
  <c r="E30" i="3"/>
  <c r="F30" i="3"/>
  <c r="G30" i="3"/>
  <c r="H30" i="3"/>
  <c r="I30" i="3"/>
  <c r="J30" i="3"/>
  <c r="K30" i="3"/>
  <c r="L30" i="3"/>
  <c r="D31" i="3"/>
  <c r="E31" i="3"/>
  <c r="F31" i="3"/>
  <c r="G31" i="3"/>
  <c r="H31" i="3"/>
  <c r="I31" i="3"/>
  <c r="J31" i="3"/>
  <c r="K31" i="3"/>
  <c r="L31" i="3"/>
  <c r="D32" i="3"/>
  <c r="E32" i="3"/>
  <c r="F32" i="3"/>
  <c r="G32" i="3"/>
  <c r="H32" i="3"/>
  <c r="I32" i="3"/>
  <c r="J32" i="3"/>
  <c r="K32" i="3"/>
  <c r="L32" i="3"/>
  <c r="D33" i="3"/>
  <c r="E33" i="3"/>
  <c r="F33" i="3"/>
  <c r="G33" i="3"/>
  <c r="H33" i="3"/>
  <c r="I33" i="3"/>
  <c r="J33" i="3"/>
  <c r="K33" i="3"/>
  <c r="L33" i="3"/>
  <c r="D34" i="3"/>
  <c r="E34" i="3"/>
  <c r="F34" i="3"/>
  <c r="G34" i="3"/>
  <c r="H34" i="3"/>
  <c r="I34" i="3"/>
  <c r="J34" i="3"/>
  <c r="K34" i="3"/>
  <c r="L34" i="3"/>
  <c r="D35" i="3"/>
  <c r="E35" i="3"/>
  <c r="F35" i="3"/>
  <c r="G35" i="3"/>
  <c r="H35" i="3"/>
  <c r="I35" i="3"/>
  <c r="J35" i="3"/>
  <c r="K35" i="3"/>
  <c r="L35" i="3"/>
  <c r="D36" i="3"/>
  <c r="E36" i="3"/>
  <c r="F36" i="3"/>
  <c r="G36" i="3"/>
  <c r="H36" i="3"/>
  <c r="I36" i="3"/>
  <c r="J36" i="3"/>
  <c r="K36" i="3"/>
  <c r="L36" i="3"/>
  <c r="D37" i="3"/>
  <c r="E37" i="3"/>
  <c r="F37" i="3"/>
  <c r="G37" i="3"/>
  <c r="H37" i="3"/>
  <c r="I37" i="3"/>
  <c r="J37" i="3"/>
  <c r="K37" i="3"/>
  <c r="L37" i="3"/>
  <c r="D38" i="3"/>
  <c r="E38" i="3"/>
  <c r="F38" i="3"/>
  <c r="G38" i="3"/>
  <c r="H38" i="3"/>
  <c r="I38" i="3"/>
  <c r="J38" i="3"/>
  <c r="K38" i="3"/>
  <c r="L38" i="3"/>
  <c r="M35" i="3"/>
  <c r="D14" i="3"/>
  <c r="E14" i="3"/>
  <c r="F14" i="3"/>
  <c r="G14" i="3"/>
  <c r="H14" i="3"/>
  <c r="I14" i="3"/>
  <c r="J14" i="3"/>
  <c r="K14" i="3"/>
  <c r="L14" i="3"/>
  <c r="C15" i="3"/>
  <c r="C16" i="3"/>
  <c r="C17" i="3"/>
  <c r="C18" i="3"/>
  <c r="C19" i="3"/>
  <c r="C21" i="3"/>
  <c r="C22" i="3"/>
  <c r="C23" i="3"/>
  <c r="C24" i="3"/>
  <c r="C25" i="3"/>
  <c r="C27" i="3"/>
  <c r="C28" i="3"/>
  <c r="C29" i="3"/>
  <c r="C30" i="3"/>
  <c r="C31" i="3"/>
  <c r="C32" i="3"/>
  <c r="C33" i="3"/>
  <c r="C34" i="3"/>
  <c r="C35" i="3"/>
  <c r="C36" i="3"/>
  <c r="C37" i="3"/>
  <c r="C38" i="3"/>
  <c r="C14" i="3"/>
  <c r="M31" i="3"/>
  <c r="M8" i="3"/>
  <c r="M11" i="3"/>
  <c r="M7" i="3"/>
  <c r="L2" i="3"/>
  <c r="M28" i="3" l="1"/>
  <c r="M16" i="3"/>
  <c r="K13" i="3"/>
  <c r="M32" i="3"/>
  <c r="L13" i="3"/>
  <c r="L39" i="3" s="1"/>
  <c r="J13" i="3"/>
  <c r="J39" i="3" s="1"/>
  <c r="I13" i="3"/>
  <c r="I39" i="3" s="1"/>
  <c r="H13" i="3"/>
  <c r="H39" i="3" s="1"/>
  <c r="M29" i="3"/>
  <c r="M36" i="3"/>
  <c r="M17" i="3"/>
  <c r="M37" i="3"/>
  <c r="M33" i="3"/>
  <c r="M22" i="3"/>
  <c r="L4" i="3"/>
  <c r="K4" i="3"/>
  <c r="J4" i="3"/>
  <c r="I4" i="3"/>
  <c r="H4" i="3"/>
  <c r="M9" i="3"/>
  <c r="G4" i="3"/>
  <c r="F4" i="3"/>
  <c r="E4" i="3"/>
  <c r="M10" i="3"/>
  <c r="D4" i="3"/>
  <c r="M6" i="3"/>
  <c r="C4" i="3"/>
  <c r="C3" i="3" s="1"/>
  <c r="C13" i="3"/>
  <c r="D13" i="3"/>
  <c r="M34" i="3"/>
  <c r="M30" i="3"/>
  <c r="M38" i="3"/>
  <c r="M25" i="3"/>
  <c r="E13" i="3"/>
  <c r="E39" i="3" s="1"/>
  <c r="M27" i="3"/>
  <c r="M21" i="3"/>
  <c r="F13" i="3"/>
  <c r="M18" i="3"/>
  <c r="M14" i="3"/>
  <c r="G13" i="3"/>
  <c r="K39" i="3"/>
  <c r="M20" i="3" l="1"/>
  <c r="H3" i="3"/>
  <c r="D3" i="3"/>
  <c r="M3" i="3"/>
  <c r="C39" i="3"/>
  <c r="D39" i="3"/>
  <c r="M26" i="3"/>
  <c r="M13" i="3"/>
  <c r="F39" i="3"/>
  <c r="G39" i="3"/>
  <c r="M39" i="3" l="1"/>
</calcChain>
</file>

<file path=xl/sharedStrings.xml><?xml version="1.0" encoding="utf-8"?>
<sst xmlns="http://schemas.openxmlformats.org/spreadsheetml/2006/main" count="51" uniqueCount="49">
  <si>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</si>
  <si>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</si>
  <si>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</si>
  <si>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</si>
  <si>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</si>
  <si>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</si>
  <si>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</si>
  <si>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</si>
  <si>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</si>
  <si>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</si>
  <si>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</si>
  <si>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</si>
  <si>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</si>
  <si>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</si>
  <si>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</si>
  <si>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</si>
  <si>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</si>
  <si>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</si>
  <si>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</si>
  <si>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</si>
  <si>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</si>
  <si>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</si>
  <si>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</si>
  <si>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</si>
  <si>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</si>
  <si>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</si>
  <si>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</si>
  <si>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</si>
  <si>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</si>
  <si>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</si>
  <si>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</si>
  <si>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</si>
  <si>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</si>
  <si>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</si>
  <si>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CAMEL ACTIVE / BHB-Fashion Service Gmbh</t>
  </si>
  <si>
    <t>OCHNIK</t>
  </si>
  <si>
    <t>ITX LADIES</t>
  </si>
  <si>
    <t>ITX KIDS</t>
  </si>
  <si>
    <t>JKL2</t>
  </si>
  <si>
    <t>Nov-24 Sewing Plan analysis</t>
  </si>
  <si>
    <t>Before Nov</t>
  </si>
  <si>
    <t>1-7/Nov</t>
  </si>
  <si>
    <t>8-15/Nov</t>
  </si>
  <si>
    <t>16-23/Nov</t>
  </si>
  <si>
    <t>24-30/Nov</t>
  </si>
  <si>
    <t>1-5/Dec</t>
  </si>
  <si>
    <t>6-10/Dec</t>
  </si>
  <si>
    <t>11-20/Dec</t>
  </si>
  <si>
    <t>21-31/Dec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</si>
</sst>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0" borderId="0" xfId="0" applyFont="1"/>
    <xf numFmtId="165" fontId="3" fillId="0" borderId="0" xfId="0" applyNumberFormat="1" applyFont="1"/>
    <xf numFmtId="3" fontId="4" fillId="3" borderId="2" xfId="0" applyNumberFormat="1" applyFont="1" applyFill="1" applyBorder="1"/>
    <xf numFmtId="3" fontId="3" fillId="2" borderId="2" xfId="0" applyNumberFormat="1" applyFont="1" applyFill="1" applyBorder="1"/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3" fillId="2" borderId="2" xfId="0" applyFont="1" applyFill="1" applyBorder="1"/>
    <xf numFmtId="3" fontId="3" fillId="2" borderId="2" xfId="0" applyNumberFormat="1" applyFont="1" applyFill="1" applyBorder="1" applyAlignment="1">
      <alignment horizontal="right"/>
    </xf>
    <xf numFmtId="0" fontId="1" fillId="0" borderId="2" xfId="0" applyFont="1" applyBorder="1"/>
    <xf numFmtId="164" fontId="3" fillId="2" borderId="2" xfId="0" applyNumberFormat="1" applyFont="1" applyFill="1" applyBorder="1"/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Work\3.%20Half%20Monthly\TOD%20wise%20breakdown\output.xlsx" TargetMode="External"/><Relationship Id="rId1" Type="http://schemas.openxmlformats.org/officeDocument/2006/relationships/externalLinkPath" Target="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-Wise"/>
      <sheetName val="Buyer-Wise"/>
    </sheetNames>
    <sheetDataSet>
      <sheetData sheetId="0"/>
      <sheetData sheetId="1">
        <row r="2">
          <cell r="A2" t="str">
            <v>ASDA STORE LTD.</v>
          </cell>
          <cell r="B2">
            <v>4704</v>
          </cell>
          <cell r="C2">
            <v>178815</v>
          </cell>
          <cell r="D2">
            <v>74110</v>
          </cell>
          <cell r="E2">
            <v>509880</v>
          </cell>
          <cell r="F2">
            <v>878280</v>
          </cell>
          <cell r="H2">
            <v>28226</v>
          </cell>
          <cell r="I2">
            <v>20720</v>
          </cell>
          <cell r="J2">
            <v>13646</v>
          </cell>
        </row>
        <row r="3">
          <cell r="A3" t="str">
            <v>BESTSELLER A/S</v>
          </cell>
          <cell r="B3">
            <v>2464</v>
          </cell>
          <cell r="C3">
            <v>218555</v>
          </cell>
          <cell r="D3">
            <v>142384</v>
          </cell>
          <cell r="E3">
            <v>178292</v>
          </cell>
          <cell r="F3">
            <v>74500</v>
          </cell>
          <cell r="G3">
            <v>36681</v>
          </cell>
        </row>
        <row r="4">
          <cell r="A4" t="str">
            <v>KMART AUSTRALIA LIMITED</v>
          </cell>
          <cell r="C4">
            <v>36873</v>
          </cell>
          <cell r="D4">
            <v>34899</v>
          </cell>
          <cell r="E4">
            <v>33621</v>
          </cell>
          <cell r="F4">
            <v>30477</v>
          </cell>
          <cell r="G4">
            <v>7112</v>
          </cell>
        </row>
        <row r="5">
          <cell r="A5" t="str">
            <v>VF CORPORATION</v>
          </cell>
          <cell r="B5">
            <v>216723</v>
          </cell>
          <cell r="C5">
            <v>321453</v>
          </cell>
          <cell r="D5">
            <v>123658</v>
          </cell>
          <cell r="E5">
            <v>94461</v>
          </cell>
          <cell r="G5">
            <v>54781</v>
          </cell>
          <cell r="I5">
            <v>12352</v>
          </cell>
          <cell r="J5">
            <v>755</v>
          </cell>
          <cell r="K5">
            <v>4466</v>
          </cell>
        </row>
        <row r="6">
          <cell r="A6" t="str">
            <v>ZLABELS GMBH</v>
          </cell>
        </row>
        <row r="7">
          <cell r="A7" t="str">
            <v>OCHNIK</v>
          </cell>
        </row>
        <row r="8">
          <cell r="A8" t="str">
            <v>C &amp; A BUYING GMBH &amp; CO. KG</v>
          </cell>
          <cell r="B8">
            <v>213140</v>
          </cell>
          <cell r="C8">
            <v>37436</v>
          </cell>
          <cell r="D8">
            <v>386473</v>
          </cell>
          <cell r="E8">
            <v>278429</v>
          </cell>
          <cell r="F8">
            <v>1531259</v>
          </cell>
          <cell r="G8">
            <v>92522</v>
          </cell>
          <cell r="H8">
            <v>69037</v>
          </cell>
        </row>
        <row r="9">
          <cell r="A9" t="str">
            <v>H &amp; M HENNES &amp; MAURITAZ GBC AB</v>
          </cell>
          <cell r="B9">
            <v>80732</v>
          </cell>
          <cell r="C9">
            <v>357306</v>
          </cell>
          <cell r="D9">
            <v>534507</v>
          </cell>
          <cell r="E9">
            <v>284246</v>
          </cell>
          <cell r="F9">
            <v>37460</v>
          </cell>
          <cell r="G9">
            <v>15316</v>
          </cell>
          <cell r="H9">
            <v>3898</v>
          </cell>
        </row>
        <row r="10">
          <cell r="A10" t="str">
            <v>VOGUE SOURCING LIMITED</v>
          </cell>
          <cell r="B10">
            <v>4295</v>
          </cell>
          <cell r="C10">
            <v>13183</v>
          </cell>
          <cell r="E10">
            <v>46102</v>
          </cell>
          <cell r="F10">
            <v>15849</v>
          </cell>
        </row>
        <row r="11">
          <cell r="A11" t="str">
            <v>INDISKA</v>
          </cell>
          <cell r="E11">
            <v>11700</v>
          </cell>
        </row>
        <row r="12">
          <cell r="A12" t="str">
            <v>ITX KIDS</v>
          </cell>
          <cell r="C12">
            <v>2500</v>
          </cell>
        </row>
        <row r="13">
          <cell r="A13" t="str">
            <v>BONITA GMBS &amp; CO. KG</v>
          </cell>
          <cell r="B13">
            <v>4650</v>
          </cell>
        </row>
        <row r="14">
          <cell r="A14" t="str">
            <v>ESPRIT MACAO COMMERCIAL OFFSHORE LTD.</v>
          </cell>
        </row>
        <row r="15">
          <cell r="A15" t="str">
            <v>G-STAR RAW CV</v>
          </cell>
          <cell r="B15">
            <v>10235</v>
          </cell>
          <cell r="C15">
            <v>1275</v>
          </cell>
          <cell r="D15">
            <v>4934</v>
          </cell>
          <cell r="G15">
            <v>437</v>
          </cell>
        </row>
        <row r="16">
          <cell r="A16" t="str">
            <v>GUESS EUROPE SAGL</v>
          </cell>
          <cell r="D16">
            <v>395302</v>
          </cell>
          <cell r="E16">
            <v>29761</v>
          </cell>
          <cell r="F16">
            <v>146187</v>
          </cell>
        </row>
        <row r="17">
          <cell r="A17" t="str">
            <v>HUGO BOSS AG</v>
          </cell>
          <cell r="B17">
            <v>18022</v>
          </cell>
          <cell r="C17">
            <v>6974</v>
          </cell>
          <cell r="D17">
            <v>19112</v>
          </cell>
          <cell r="G17">
            <v>736</v>
          </cell>
        </row>
        <row r="18">
          <cell r="A18" t="str">
            <v>MQ MARQET AB</v>
          </cell>
          <cell r="C18">
            <v>26830</v>
          </cell>
        </row>
        <row r="19">
          <cell r="A19" t="str">
            <v>NEW FRONTIER</v>
          </cell>
          <cell r="B19">
            <v>7883</v>
          </cell>
          <cell r="D19">
            <v>172286</v>
          </cell>
          <cell r="E19">
            <v>151606</v>
          </cell>
          <cell r="I19">
            <v>30620</v>
          </cell>
        </row>
        <row r="20">
          <cell r="A20" t="str">
            <v>NEXT SOURCING LTD.</v>
          </cell>
          <cell r="B20">
            <v>13605</v>
          </cell>
          <cell r="D20">
            <v>33410</v>
          </cell>
          <cell r="E20">
            <v>42878</v>
          </cell>
          <cell r="F20">
            <v>10206</v>
          </cell>
        </row>
        <row r="21">
          <cell r="A21" t="str">
            <v>PUMA</v>
          </cell>
          <cell r="B21">
            <v>77371</v>
          </cell>
          <cell r="C21">
            <v>687686</v>
          </cell>
          <cell r="E21">
            <v>370063</v>
          </cell>
          <cell r="G21">
            <v>153187</v>
          </cell>
          <cell r="I21">
            <v>14297</v>
          </cell>
          <cell r="K21">
            <v>20027</v>
          </cell>
        </row>
        <row r="22">
          <cell r="A22" t="str">
            <v>Ralph Lauren Corporation</v>
          </cell>
          <cell r="B22">
            <v>7907</v>
          </cell>
          <cell r="C22">
            <v>69732</v>
          </cell>
          <cell r="D22">
            <v>93045</v>
          </cell>
          <cell r="F22">
            <v>9498</v>
          </cell>
          <cell r="G22">
            <v>546</v>
          </cell>
        </row>
        <row r="23">
          <cell r="A23" t="str">
            <v>TOM TAILOR SOURCING LTD.</v>
          </cell>
          <cell r="B23">
            <v>15400</v>
          </cell>
          <cell r="C23">
            <v>50682</v>
          </cell>
          <cell r="E23">
            <v>17871</v>
          </cell>
        </row>
        <row r="24">
          <cell r="A24" t="str">
            <v>CAMEL ACTIVE / BHB-Fashion Service Gmbh</v>
          </cell>
          <cell r="B24">
            <v>10455</v>
          </cell>
          <cell r="C24">
            <v>15116</v>
          </cell>
          <cell r="E24">
            <v>48899</v>
          </cell>
          <cell r="H24">
            <v>30296</v>
          </cell>
        </row>
        <row r="25">
          <cell r="A25" t="str">
            <v>ITX LADIES</v>
          </cell>
          <cell r="B25">
            <v>2840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39"/>
  <sheetViews>
    <sheetView tabSelected="1" zoomScaleNormal="100" workbookViewId="0">
      <selection activeCell="H9" sqref="H9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.140625" style="1" customWidth="1"/>
    <col min="6" max="6" width="11.7109375" style="1" customWidth="1"/>
    <col min="7" max="7" width="12.140625" style="1" customWidth="1"/>
    <col min="8" max="8" width="13.28515625" style="1" customWidth="1"/>
    <col min="9" max="9" width="11.42578125" style="1" customWidth="1"/>
    <col min="10" max="10" width="11" style="1" customWidth="1"/>
    <col min="11" max="11" width="13" style="1" customWidth="1"/>
    <col min="12" max="12" width="13.28515625" style="1" customWidth="1"/>
    <col min="13" max="13" width="16.42578125" style="1" customWidth="1"/>
    <col min="14" max="16384" width="9.140625" style="1"/>
  </cols>
  <sheetData>
    <row r="1" spans="1:13" ht="20.25" x14ac:dyDescent="0.3">
      <c r="B1" s="24" t="s">
        <v>39</v>
      </c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x14ac:dyDescent="0.25">
      <c r="A2" s="2" t="s">
        <v>0</v>
      </c>
      <c r="L2" s="3">
        <f ca="1">TODAY()</f>
        <v>45581</v>
      </c>
    </row>
    <row r="3" spans="1:13" ht="15.75" x14ac:dyDescent="0.25">
      <c r="B3" s="19" t="s">
        <v>1</v>
      </c>
      <c r="C3" s="4">
        <f>C4</f>
        <v>690430</v>
      </c>
      <c r="D3" s="25">
        <f>SUM(D4:G4)</f>
        <v>8870060</v>
      </c>
      <c r="E3" s="25"/>
      <c r="F3" s="25"/>
      <c r="G3" s="25"/>
      <c r="H3" s="25">
        <f>SUM(H4:L4)</f>
        <v>609660</v>
      </c>
      <c r="I3" s="25"/>
      <c r="J3" s="25"/>
      <c r="K3" s="25"/>
      <c r="L3" s="25"/>
      <c r="M3" s="20">
        <f>SUM(M6:M11)</f>
        <v>10170150</v>
      </c>
    </row>
    <row r="4" spans="1:13" x14ac:dyDescent="0.25">
      <c r="B4" s="19"/>
      <c r="C4" s="5">
        <f>SUM(C6:C11)</f>
        <v>690430</v>
      </c>
      <c r="D4" s="5">
        <f t="shared" ref="D4:H4" si="0">SUM(D6:D11)</f>
        <v>2024416</v>
      </c>
      <c r="E4" s="5">
        <f t="shared" si="0"/>
        <v>2014120</v>
      </c>
      <c r="F4" s="5">
        <f t="shared" si="0"/>
        <v>2097809</v>
      </c>
      <c r="G4" s="5">
        <f t="shared" si="0"/>
        <v>2733715</v>
      </c>
      <c r="H4" s="5">
        <f t="shared" si="0"/>
        <v>361319</v>
      </c>
      <c r="I4" s="5">
        <f>SUM(I6:I11)</f>
        <v>131457</v>
      </c>
      <c r="J4" s="5">
        <f>SUM(J6:J11)</f>
        <v>77990</v>
      </c>
      <c r="K4" s="5">
        <f>SUM(K6:K11)</f>
        <v>14401</v>
      </c>
      <c r="L4" s="5">
        <f>SUM(L6:L11)</f>
        <v>24493</v>
      </c>
      <c r="M4" s="20"/>
    </row>
    <row r="5" spans="1:13" ht="15.75" customHeight="1" x14ac:dyDescent="0.25">
      <c r="B5" s="6" t="s">
        <v>2</v>
      </c>
      <c r="C5" s="7" t="s">
        <v>40</v>
      </c>
      <c r="D5" s="8" t="s">
        <v>41</v>
      </c>
      <c r="E5" s="8" t="s">
        <v>42</v>
      </c>
      <c r="F5" s="8" t="s">
        <v>43</v>
      </c>
      <c r="G5" s="8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3</v>
      </c>
      <c r="M5" s="6" t="s">
        <v>4</v>
      </c>
    </row>
    <row r="6" spans="1:13" x14ac:dyDescent="0.25">
      <c r="B6" s="16" t="s">
        <v>5</v>
      </c>
      <c r="C6" s="9">
        <v>75459</v>
      </c>
      <c r="D6" s="10">
        <v>142180</v>
      </c>
      <c r="E6" s="10">
        <v>376368</v>
      </c>
      <c r="F6" s="10">
        <v>156143</v>
      </c>
      <c r="G6" s="10">
        <v>873258</v>
      </c>
      <c r="H6" s="9">
        <v>20771</v>
      </c>
      <c r="I6" s="9">
        <v>29176</v>
      </c>
      <c r="J6" s="9"/>
      <c r="K6" s="9"/>
      <c r="L6" s="9"/>
      <c r="M6" s="10">
        <f t="shared" ref="M6:M11" si="1">SUM(C6:L6)</f>
        <v>1673355</v>
      </c>
    </row>
    <row r="7" spans="1:13" x14ac:dyDescent="0.25">
      <c r="B7" s="12" t="s">
        <v>6</v>
      </c>
      <c r="C7" s="11">
        <v>7168</v>
      </c>
      <c r="D7" s="11">
        <v>284249</v>
      </c>
      <c r="E7" s="11">
        <v>109710</v>
      </c>
      <c r="F7" s="11">
        <v>540481</v>
      </c>
      <c r="G7" s="11">
        <v>484975</v>
      </c>
      <c r="H7" s="11">
        <v>4198</v>
      </c>
      <c r="I7" s="12">
        <v>608</v>
      </c>
      <c r="J7" s="11"/>
      <c r="K7" s="11"/>
      <c r="L7" s="11"/>
      <c r="M7" s="11">
        <f t="shared" si="1"/>
        <v>1431389</v>
      </c>
    </row>
    <row r="8" spans="1:13" x14ac:dyDescent="0.25">
      <c r="B8" s="16" t="s">
        <v>7</v>
      </c>
      <c r="C8" s="9">
        <v>129397</v>
      </c>
      <c r="D8" s="10">
        <v>346363</v>
      </c>
      <c r="E8" s="10">
        <v>186852</v>
      </c>
      <c r="F8" s="10">
        <v>251657</v>
      </c>
      <c r="G8" s="10">
        <v>19704</v>
      </c>
      <c r="H8" s="9">
        <v>25042</v>
      </c>
      <c r="I8" s="9">
        <v>30296</v>
      </c>
      <c r="J8" s="9">
        <v>4850</v>
      </c>
      <c r="K8" s="9"/>
      <c r="L8" s="9">
        <v>11027</v>
      </c>
      <c r="M8" s="10">
        <f t="shared" si="1"/>
        <v>1005188</v>
      </c>
    </row>
    <row r="9" spans="1:13" x14ac:dyDescent="0.25">
      <c r="B9" s="12" t="s">
        <v>8</v>
      </c>
      <c r="C9" s="11">
        <v>245269</v>
      </c>
      <c r="D9" s="11">
        <v>506215</v>
      </c>
      <c r="E9" s="11">
        <v>129199</v>
      </c>
      <c r="F9" s="11">
        <v>251636</v>
      </c>
      <c r="G9" s="11">
        <v>422163</v>
      </c>
      <c r="H9" s="11">
        <v>97021</v>
      </c>
      <c r="I9" s="12">
        <v>27618</v>
      </c>
      <c r="J9" s="11">
        <v>70990</v>
      </c>
      <c r="K9" s="11">
        <v>14401</v>
      </c>
      <c r="L9" s="11">
        <v>4466</v>
      </c>
      <c r="M9" s="11">
        <f t="shared" si="1"/>
        <v>1768978</v>
      </c>
    </row>
    <row r="10" spans="1:13" x14ac:dyDescent="0.25">
      <c r="B10" s="16" t="s">
        <v>9</v>
      </c>
      <c r="C10" s="9">
        <v>31359</v>
      </c>
      <c r="D10" s="10">
        <v>262806</v>
      </c>
      <c r="E10" s="10">
        <v>415018</v>
      </c>
      <c r="F10" s="10">
        <v>253246</v>
      </c>
      <c r="G10" s="10">
        <v>17089</v>
      </c>
      <c r="H10" s="9">
        <v>15316</v>
      </c>
      <c r="I10" s="9"/>
      <c r="J10" s="9"/>
      <c r="K10" s="9"/>
      <c r="L10" s="9"/>
      <c r="M10" s="10">
        <f t="shared" si="1"/>
        <v>994834</v>
      </c>
    </row>
    <row r="11" spans="1:13" x14ac:dyDescent="0.25">
      <c r="B11" s="12" t="s">
        <v>38</v>
      </c>
      <c r="C11" s="11">
        <v>201778</v>
      </c>
      <c r="D11" s="11">
        <v>482603</v>
      </c>
      <c r="E11" s="11">
        <v>796973</v>
      </c>
      <c r="F11" s="11">
        <v>644646</v>
      </c>
      <c r="G11" s="11">
        <v>916526</v>
      </c>
      <c r="H11" s="11">
        <v>198971</v>
      </c>
      <c r="I11" s="12">
        <v>43759</v>
      </c>
      <c r="J11" s="11">
        <v>2150</v>
      </c>
      <c r="K11" s="11"/>
      <c r="L11" s="11">
        <v>9000</v>
      </c>
      <c r="M11" s="11">
        <f t="shared" si="1"/>
        <v>3296406</v>
      </c>
    </row>
    <row r="12" spans="1:13" x14ac:dyDescent="0.25">
      <c r="A12" s="26" t="s">
        <v>10</v>
      </c>
      <c r="B12" s="26"/>
      <c r="C12" s="26"/>
      <c r="D12" s="13"/>
      <c r="E12" s="13"/>
      <c r="F12" s="13"/>
      <c r="G12" s="13"/>
      <c r="H12" s="13"/>
      <c r="I12" s="13"/>
      <c r="J12" s="13"/>
      <c r="K12" s="13"/>
    </row>
    <row r="13" spans="1:13" x14ac:dyDescent="0.25">
      <c r="A13" s="21" t="s">
        <v>11</v>
      </c>
      <c r="B13" s="14" t="s">
        <v>12</v>
      </c>
      <c r="C13" s="5">
        <f t="shared" ref="C13:M13" si="2">SUM(C14:C19)</f>
        <v>223891</v>
      </c>
      <c r="D13" s="5">
        <f t="shared" si="2"/>
        <v>755696</v>
      </c>
      <c r="E13" s="5">
        <f t="shared" si="2"/>
        <v>375051</v>
      </c>
      <c r="F13" s="5">
        <f t="shared" si="2"/>
        <v>816254</v>
      </c>
      <c r="G13" s="5">
        <f t="shared" si="2"/>
        <v>983257</v>
      </c>
      <c r="H13" s="5">
        <f t="shared" si="2"/>
        <v>98574</v>
      </c>
      <c r="I13" s="5">
        <f t="shared" si="2"/>
        <v>28226</v>
      </c>
      <c r="J13" s="5">
        <f t="shared" si="2"/>
        <v>33072</v>
      </c>
      <c r="K13" s="5">
        <f t="shared" si="2"/>
        <v>14401</v>
      </c>
      <c r="L13" s="15">
        <f t="shared" si="2"/>
        <v>4466</v>
      </c>
      <c r="M13" s="5">
        <f t="shared" si="2"/>
        <v>3332888</v>
      </c>
    </row>
    <row r="14" spans="1:13" x14ac:dyDescent="0.25">
      <c r="A14" s="22"/>
      <c r="B14" s="16" t="s">
        <v>19</v>
      </c>
      <c r="C14" s="9">
        <f>_xlfn.XLOOKUP($B14,'[1]Buyer-Wise'!$A$2:$A$25,'[1]Buyer-Wise'!B$2:B$25,"-",0,1)</f>
        <v>4704</v>
      </c>
      <c r="D14" s="10">
        <f>_xlfn.XLOOKUP($B14,'[1]Buyer-Wise'!$A$2:$A$25,'[1]Buyer-Wise'!C$2:C$25,"-",0,1)</f>
        <v>178815</v>
      </c>
      <c r="E14" s="10">
        <f>_xlfn.XLOOKUP($B14,'[1]Buyer-Wise'!$A$2:$A$25,'[1]Buyer-Wise'!D$2:D$25,"-",0,1)</f>
        <v>74110</v>
      </c>
      <c r="F14" s="10">
        <f>_xlfn.XLOOKUP($B14,'[1]Buyer-Wise'!$A$2:$A$25,'[1]Buyer-Wise'!E$2:E$25,"-",0,1)</f>
        <v>509880</v>
      </c>
      <c r="G14" s="10">
        <f>_xlfn.XLOOKUP($B14,'[1]Buyer-Wise'!$A$2:$A$25,'[1]Buyer-Wise'!F$2:F$25,"-",0,1)</f>
        <v>878280</v>
      </c>
      <c r="H14" s="9">
        <f>_xlfn.XLOOKUP($B14,'[1]Buyer-Wise'!$A$2:$A$25,'[1]Buyer-Wise'!G$2:G$25,"-",0,1)</f>
        <v>0</v>
      </c>
      <c r="I14" s="9">
        <f>_xlfn.XLOOKUP($B14,'[1]Buyer-Wise'!$A$2:$A$25,'[1]Buyer-Wise'!H$2:H$25,"-",0,1)</f>
        <v>28226</v>
      </c>
      <c r="J14" s="9">
        <f>_xlfn.XLOOKUP($B14,'[1]Buyer-Wise'!$A$2:$A$25,'[1]Buyer-Wise'!I$2:I$25,"-",0,1)</f>
        <v>20720</v>
      </c>
      <c r="K14" s="9">
        <f>_xlfn.XLOOKUP($B14,'[1]Buyer-Wise'!$A$2:$A$25,'[1]Buyer-Wise'!J$2:J$25,"-",0,1)</f>
        <v>13646</v>
      </c>
      <c r="L14" s="9">
        <f>_xlfn.XLOOKUP($B14,'[1]Buyer-Wise'!$A$2:$A$25,'[1]Buyer-Wise'!K$2:K$25,"-",0,1)</f>
        <v>0</v>
      </c>
      <c r="M14" s="10">
        <f>SUM(C14:L14)</f>
        <v>1708381</v>
      </c>
    </row>
    <row r="15" spans="1:13" x14ac:dyDescent="0.25">
      <c r="A15" s="22"/>
      <c r="B15" s="12" t="s">
        <v>20</v>
      </c>
      <c r="C15" s="11">
        <f>_xlfn.XLOOKUP($B15,'[1]Buyer-Wise'!$A$2:$A$25,'[1]Buyer-Wise'!B$2:B$25,"-",0,1)</f>
        <v>2464</v>
      </c>
      <c r="D15" s="11">
        <f>_xlfn.XLOOKUP($B15,'[1]Buyer-Wise'!$A$2:$A$25,'[1]Buyer-Wise'!C$2:C$25,"-",0,1)</f>
        <v>218555</v>
      </c>
      <c r="E15" s="11">
        <f>_xlfn.XLOOKUP($B15,'[1]Buyer-Wise'!$A$2:$A$25,'[1]Buyer-Wise'!D$2:D$25,"-",0,1)</f>
        <v>142384</v>
      </c>
      <c r="F15" s="11">
        <f>_xlfn.XLOOKUP($B15,'[1]Buyer-Wise'!$A$2:$A$25,'[1]Buyer-Wise'!E$2:E$25,"-",0,1)</f>
        <v>178292</v>
      </c>
      <c r="G15" s="11">
        <f>_xlfn.XLOOKUP($B15,'[1]Buyer-Wise'!$A$2:$A$25,'[1]Buyer-Wise'!F$2:F$25,"-",0,1)</f>
        <v>74500</v>
      </c>
      <c r="H15" s="11">
        <f>_xlfn.XLOOKUP($B15,'[1]Buyer-Wise'!$A$2:$A$25,'[1]Buyer-Wise'!G$2:G$25,"-",0,1)</f>
        <v>36681</v>
      </c>
      <c r="I15" s="11">
        <f>_xlfn.XLOOKUP($B15,'[1]Buyer-Wise'!$A$2:$A$25,'[1]Buyer-Wise'!H$2:H$25,"-",0,1)</f>
        <v>0</v>
      </c>
      <c r="J15" s="11">
        <f>_xlfn.XLOOKUP($B15,'[1]Buyer-Wise'!$A$2:$A$25,'[1]Buyer-Wise'!I$2:I$25,"-",0,1)</f>
        <v>0</v>
      </c>
      <c r="K15" s="11">
        <f>_xlfn.XLOOKUP($B15,'[1]Buyer-Wise'!$A$2:$A$25,'[1]Buyer-Wise'!J$2:J$25,"-",0,1)</f>
        <v>0</v>
      </c>
      <c r="L15" s="11">
        <f>_xlfn.XLOOKUP($B15,'[1]Buyer-Wise'!$A$2:$A$25,'[1]Buyer-Wise'!K$2:K$25,"-",0,1)</f>
        <v>0</v>
      </c>
      <c r="M15" s="11">
        <f>SUM(C15:L15)</f>
        <v>652876</v>
      </c>
    </row>
    <row r="16" spans="1:13" x14ac:dyDescent="0.25">
      <c r="A16" s="22"/>
      <c r="B16" s="16" t="s">
        <v>26</v>
      </c>
      <c r="C16" s="9">
        <f>_xlfn.XLOOKUP($B16,'[1]Buyer-Wise'!$A$2:$A$25,'[1]Buyer-Wise'!B$2:B$25,"-",0,1)</f>
        <v>0</v>
      </c>
      <c r="D16" s="10">
        <f>_xlfn.XLOOKUP($B16,'[1]Buyer-Wise'!$A$2:$A$25,'[1]Buyer-Wise'!C$2:C$25,"-",0,1)</f>
        <v>36873</v>
      </c>
      <c r="E16" s="10">
        <f>_xlfn.XLOOKUP($B16,'[1]Buyer-Wise'!$A$2:$A$25,'[1]Buyer-Wise'!D$2:D$25,"-",0,1)</f>
        <v>34899</v>
      </c>
      <c r="F16" s="10">
        <f>_xlfn.XLOOKUP($B16,'[1]Buyer-Wise'!$A$2:$A$25,'[1]Buyer-Wise'!E$2:E$25,"-",0,1)</f>
        <v>33621</v>
      </c>
      <c r="G16" s="10">
        <f>_xlfn.XLOOKUP($B16,'[1]Buyer-Wise'!$A$2:$A$25,'[1]Buyer-Wise'!F$2:F$25,"-",0,1)</f>
        <v>30477</v>
      </c>
      <c r="H16" s="9">
        <f>_xlfn.XLOOKUP($B16,'[1]Buyer-Wise'!$A$2:$A$25,'[1]Buyer-Wise'!G$2:G$25,"-",0,1)</f>
        <v>7112</v>
      </c>
      <c r="I16" s="9">
        <f>_xlfn.XLOOKUP($B16,'[1]Buyer-Wise'!$A$2:$A$25,'[1]Buyer-Wise'!H$2:H$25,"-",0,1)</f>
        <v>0</v>
      </c>
      <c r="J16" s="9">
        <f>_xlfn.XLOOKUP($B16,'[1]Buyer-Wise'!$A$2:$A$25,'[1]Buyer-Wise'!I$2:I$25,"-",0,1)</f>
        <v>0</v>
      </c>
      <c r="K16" s="9">
        <f>_xlfn.XLOOKUP($B16,'[1]Buyer-Wise'!$A$2:$A$25,'[1]Buyer-Wise'!J$2:J$25,"-",0,1)</f>
        <v>0</v>
      </c>
      <c r="L16" s="9">
        <f>_xlfn.XLOOKUP($B16,'[1]Buyer-Wise'!$A$2:$A$25,'[1]Buyer-Wise'!K$2:K$25,"-",0,1)</f>
        <v>0</v>
      </c>
      <c r="M16" s="10">
        <f t="shared" ref="M16:M19" si="3">SUM(C16:L16)</f>
        <v>142982</v>
      </c>
    </row>
    <row r="17" spans="1:13" x14ac:dyDescent="0.25">
      <c r="A17" s="22"/>
      <c r="B17" s="12" t="s">
        <v>29</v>
      </c>
      <c r="C17" s="11">
        <f>_xlfn.XLOOKUP($B17,'[1]Buyer-Wise'!$A$2:$A$25,'[1]Buyer-Wise'!B$2:B$25,"-",0,1)</f>
        <v>216723</v>
      </c>
      <c r="D17" s="11">
        <f>_xlfn.XLOOKUP($B17,'[1]Buyer-Wise'!$A$2:$A$25,'[1]Buyer-Wise'!C$2:C$25,"-",0,1)</f>
        <v>321453</v>
      </c>
      <c r="E17" s="11">
        <f>_xlfn.XLOOKUP($B17,'[1]Buyer-Wise'!$A$2:$A$25,'[1]Buyer-Wise'!D$2:D$25,"-",0,1)</f>
        <v>123658</v>
      </c>
      <c r="F17" s="11">
        <f>_xlfn.XLOOKUP($B17,'[1]Buyer-Wise'!$A$2:$A$25,'[1]Buyer-Wise'!E$2:E$25,"-",0,1)</f>
        <v>94461</v>
      </c>
      <c r="G17" s="11">
        <f>_xlfn.XLOOKUP($B17,'[1]Buyer-Wise'!$A$2:$A$25,'[1]Buyer-Wise'!F$2:F$25,"-",0,1)</f>
        <v>0</v>
      </c>
      <c r="H17" s="11">
        <f>_xlfn.XLOOKUP($B17,'[1]Buyer-Wise'!$A$2:$A$25,'[1]Buyer-Wise'!G$2:G$25,"-",0,1)</f>
        <v>54781</v>
      </c>
      <c r="I17" s="11">
        <f>_xlfn.XLOOKUP($B17,'[1]Buyer-Wise'!$A$2:$A$25,'[1]Buyer-Wise'!H$2:H$25,"-",0,1)</f>
        <v>0</v>
      </c>
      <c r="J17" s="11">
        <f>_xlfn.XLOOKUP($B17,'[1]Buyer-Wise'!$A$2:$A$25,'[1]Buyer-Wise'!I$2:I$25,"-",0,1)</f>
        <v>12352</v>
      </c>
      <c r="K17" s="11">
        <f>_xlfn.XLOOKUP($B17,'[1]Buyer-Wise'!$A$2:$A$25,'[1]Buyer-Wise'!J$2:J$25,"-",0,1)</f>
        <v>755</v>
      </c>
      <c r="L17" s="11">
        <f>_xlfn.XLOOKUP($B17,'[1]Buyer-Wise'!$A$2:$A$25,'[1]Buyer-Wise'!K$2:K$25,"-",0,1)</f>
        <v>4466</v>
      </c>
      <c r="M17" s="11">
        <f t="shared" si="3"/>
        <v>828649</v>
      </c>
    </row>
    <row r="18" spans="1:13" x14ac:dyDescent="0.25">
      <c r="A18" s="22"/>
      <c r="B18" s="16" t="s">
        <v>31</v>
      </c>
      <c r="C18" s="9">
        <f>_xlfn.XLOOKUP($B18,'[1]Buyer-Wise'!$A$2:$A$25,'[1]Buyer-Wise'!B$2:B$25,"-",0,1)</f>
        <v>0</v>
      </c>
      <c r="D18" s="10">
        <f>_xlfn.XLOOKUP($B18,'[1]Buyer-Wise'!$A$2:$A$25,'[1]Buyer-Wise'!C$2:C$25,"-",0,1)</f>
        <v>0</v>
      </c>
      <c r="E18" s="10">
        <f>_xlfn.XLOOKUP($B18,'[1]Buyer-Wise'!$A$2:$A$25,'[1]Buyer-Wise'!D$2:D$25,"-",0,1)</f>
        <v>0</v>
      </c>
      <c r="F18" s="10">
        <f>_xlfn.XLOOKUP($B18,'[1]Buyer-Wise'!$A$2:$A$25,'[1]Buyer-Wise'!E$2:E$25,"-",0,1)</f>
        <v>0</v>
      </c>
      <c r="G18" s="10">
        <f>_xlfn.XLOOKUP($B18,'[1]Buyer-Wise'!$A$2:$A$25,'[1]Buyer-Wise'!F$2:F$25,"-",0,1)</f>
        <v>0</v>
      </c>
      <c r="H18" s="9">
        <f>_xlfn.XLOOKUP($B18,'[1]Buyer-Wise'!$A$2:$A$25,'[1]Buyer-Wise'!G$2:G$25,"-",0,1)</f>
        <v>0</v>
      </c>
      <c r="I18" s="9">
        <f>_xlfn.XLOOKUP($B18,'[1]Buyer-Wise'!$A$2:$A$25,'[1]Buyer-Wise'!H$2:H$25,"-",0,1)</f>
        <v>0</v>
      </c>
      <c r="J18" s="9">
        <f>_xlfn.XLOOKUP($B18,'[1]Buyer-Wise'!$A$2:$A$25,'[1]Buyer-Wise'!I$2:I$25,"-",0,1)</f>
        <v>0</v>
      </c>
      <c r="K18" s="9">
        <f>_xlfn.XLOOKUP($B18,'[1]Buyer-Wise'!$A$2:$A$25,'[1]Buyer-Wise'!J$2:J$25,"-",0,1)</f>
        <v>0</v>
      </c>
      <c r="L18" s="9">
        <f>_xlfn.XLOOKUP($B18,'[1]Buyer-Wise'!$A$2:$A$25,'[1]Buyer-Wise'!K$2:K$25,"-",0,1)</f>
        <v>0</v>
      </c>
      <c r="M18" s="10">
        <f t="shared" si="3"/>
        <v>0</v>
      </c>
    </row>
    <row r="19" spans="1:13" x14ac:dyDescent="0.25">
      <c r="A19" s="23"/>
      <c r="B19" s="12" t="s">
        <v>35</v>
      </c>
      <c r="C19" s="11">
        <f>_xlfn.XLOOKUP($B19,'[1]Buyer-Wise'!$A$2:$A$25,'[1]Buyer-Wise'!B$2:B$25,"-",0,1)</f>
        <v>0</v>
      </c>
      <c r="D19" s="11">
        <f>_xlfn.XLOOKUP($B19,'[1]Buyer-Wise'!$A$2:$A$25,'[1]Buyer-Wise'!C$2:C$25,"-",0,1)</f>
        <v>0</v>
      </c>
      <c r="E19" s="11">
        <f>_xlfn.XLOOKUP($B19,'[1]Buyer-Wise'!$A$2:$A$25,'[1]Buyer-Wise'!D$2:D$25,"-",0,1)</f>
        <v>0</v>
      </c>
      <c r="F19" s="11">
        <f>_xlfn.XLOOKUP($B19,'[1]Buyer-Wise'!$A$2:$A$25,'[1]Buyer-Wise'!E$2:E$25,"-",0,1)</f>
        <v>0</v>
      </c>
      <c r="G19" s="11">
        <f>_xlfn.XLOOKUP($B19,'[1]Buyer-Wise'!$A$2:$A$25,'[1]Buyer-Wise'!F$2:F$25,"-",0,1)</f>
        <v>0</v>
      </c>
      <c r="H19" s="11">
        <f>_xlfn.XLOOKUP($B19,'[1]Buyer-Wise'!$A$2:$A$25,'[1]Buyer-Wise'!G$2:G$25,"-",0,1)</f>
        <v>0</v>
      </c>
      <c r="I19" s="11">
        <f>_xlfn.XLOOKUP($B19,'[1]Buyer-Wise'!$A$2:$A$25,'[1]Buyer-Wise'!H$2:H$25,"-",0,1)</f>
        <v>0</v>
      </c>
      <c r="J19" s="11">
        <f>_xlfn.XLOOKUP($B19,'[1]Buyer-Wise'!$A$2:$A$25,'[1]Buyer-Wise'!I$2:I$25,"-",0,1)</f>
        <v>0</v>
      </c>
      <c r="K19" s="11">
        <f>_xlfn.XLOOKUP($B19,'[1]Buyer-Wise'!$A$2:$A$25,'[1]Buyer-Wise'!J$2:J$25,"-",0,1)</f>
        <v>0</v>
      </c>
      <c r="L19" s="11">
        <f>_xlfn.XLOOKUP($B19,'[1]Buyer-Wise'!$A$2:$A$25,'[1]Buyer-Wise'!K$2:K$25,"-",0,1)</f>
        <v>0</v>
      </c>
      <c r="M19" s="11">
        <f t="shared" si="3"/>
        <v>0</v>
      </c>
    </row>
    <row r="20" spans="1:13" ht="15" customHeight="1" x14ac:dyDescent="0.25">
      <c r="A20" s="27" t="s">
        <v>13</v>
      </c>
      <c r="B20" s="14" t="s">
        <v>12</v>
      </c>
      <c r="C20" s="5">
        <f>SUM(C21:C25)</f>
        <v>298167</v>
      </c>
      <c r="D20" s="5">
        <f t="shared" ref="D20:L20" si="4">SUM(D21:D25)</f>
        <v>410425</v>
      </c>
      <c r="E20" s="5">
        <f t="shared" si="4"/>
        <v>920980</v>
      </c>
      <c r="F20" s="5">
        <f t="shared" si="4"/>
        <v>620477</v>
      </c>
      <c r="G20" s="5">
        <f t="shared" si="4"/>
        <v>1584568</v>
      </c>
      <c r="H20" s="5">
        <f t="shared" si="4"/>
        <v>107838</v>
      </c>
      <c r="I20" s="5">
        <f t="shared" si="4"/>
        <v>72935</v>
      </c>
      <c r="J20" s="5">
        <f t="shared" si="4"/>
        <v>0</v>
      </c>
      <c r="K20" s="5">
        <f t="shared" si="4"/>
        <v>0</v>
      </c>
      <c r="L20" s="5">
        <f t="shared" si="4"/>
        <v>0</v>
      </c>
      <c r="M20" s="5">
        <f t="shared" ref="M20" si="5">SUM(M21:M25)</f>
        <v>4015390</v>
      </c>
    </row>
    <row r="21" spans="1:13" x14ac:dyDescent="0.25">
      <c r="A21" s="28"/>
      <c r="B21" s="16" t="s">
        <v>21</v>
      </c>
      <c r="C21" s="9">
        <f>_xlfn.XLOOKUP($B21,'[1]Buyer-Wise'!$A$2:$A$25,'[1]Buyer-Wise'!B$2:B$25,"-",0,1)</f>
        <v>213140</v>
      </c>
      <c r="D21" s="10">
        <f>_xlfn.XLOOKUP($B21,'[1]Buyer-Wise'!$A$2:$A$25,'[1]Buyer-Wise'!C$2:C$25,"-",0,1)</f>
        <v>37436</v>
      </c>
      <c r="E21" s="10">
        <f>_xlfn.XLOOKUP($B21,'[1]Buyer-Wise'!$A$2:$A$25,'[1]Buyer-Wise'!D$2:D$25,"-",0,1)</f>
        <v>386473</v>
      </c>
      <c r="F21" s="10">
        <f>_xlfn.XLOOKUP($B21,'[1]Buyer-Wise'!$A$2:$A$25,'[1]Buyer-Wise'!E$2:E$25,"-",0,1)</f>
        <v>278429</v>
      </c>
      <c r="G21" s="10">
        <f>_xlfn.XLOOKUP($B21,'[1]Buyer-Wise'!$A$2:$A$25,'[1]Buyer-Wise'!F$2:F$25,"-",0,1)</f>
        <v>1531259</v>
      </c>
      <c r="H21" s="9">
        <f>_xlfn.XLOOKUP($B21,'[1]Buyer-Wise'!$A$2:$A$25,'[1]Buyer-Wise'!G$2:G$25,"-",0,1)</f>
        <v>92522</v>
      </c>
      <c r="I21" s="9">
        <f>_xlfn.XLOOKUP($B21,'[1]Buyer-Wise'!$A$2:$A$25,'[1]Buyer-Wise'!H$2:H$25,"-",0,1)</f>
        <v>69037</v>
      </c>
      <c r="J21" s="9">
        <f>_xlfn.XLOOKUP($B21,'[1]Buyer-Wise'!$A$2:$A$25,'[1]Buyer-Wise'!I$2:I$25,"-",0,1)</f>
        <v>0</v>
      </c>
      <c r="K21" s="9">
        <f>_xlfn.XLOOKUP($B21,'[1]Buyer-Wise'!$A$2:$A$25,'[1]Buyer-Wise'!J$2:J$25,"-",0,1)</f>
        <v>0</v>
      </c>
      <c r="L21" s="9">
        <f>_xlfn.XLOOKUP($B21,'[1]Buyer-Wise'!$A$2:$A$25,'[1]Buyer-Wise'!K$2:K$25,"-",0,1)</f>
        <v>0</v>
      </c>
      <c r="M21" s="10">
        <f t="shared" ref="M21:M25" si="6">SUM(C21:L21)</f>
        <v>2608296</v>
      </c>
    </row>
    <row r="22" spans="1:13" x14ac:dyDescent="0.25">
      <c r="A22" s="28"/>
      <c r="B22" s="12" t="s">
        <v>24</v>
      </c>
      <c r="C22" s="11">
        <f>_xlfn.XLOOKUP($B22,'[1]Buyer-Wise'!$A$2:$A$25,'[1]Buyer-Wise'!B$2:B$25,"-",0,1)</f>
        <v>80732</v>
      </c>
      <c r="D22" s="11">
        <f>_xlfn.XLOOKUP($B22,'[1]Buyer-Wise'!$A$2:$A$25,'[1]Buyer-Wise'!C$2:C$25,"-",0,1)</f>
        <v>357306</v>
      </c>
      <c r="E22" s="11">
        <f>_xlfn.XLOOKUP($B22,'[1]Buyer-Wise'!$A$2:$A$25,'[1]Buyer-Wise'!D$2:D$25,"-",0,1)</f>
        <v>534507</v>
      </c>
      <c r="F22" s="11">
        <f>_xlfn.XLOOKUP($B22,'[1]Buyer-Wise'!$A$2:$A$25,'[1]Buyer-Wise'!E$2:E$25,"-",0,1)</f>
        <v>284246</v>
      </c>
      <c r="G22" s="11">
        <f>_xlfn.XLOOKUP($B22,'[1]Buyer-Wise'!$A$2:$A$25,'[1]Buyer-Wise'!F$2:F$25,"-",0,1)</f>
        <v>37460</v>
      </c>
      <c r="H22" s="11">
        <f>_xlfn.XLOOKUP($B22,'[1]Buyer-Wise'!$A$2:$A$25,'[1]Buyer-Wise'!G$2:G$25,"-",0,1)</f>
        <v>15316</v>
      </c>
      <c r="I22" s="11">
        <f>_xlfn.XLOOKUP($B22,'[1]Buyer-Wise'!$A$2:$A$25,'[1]Buyer-Wise'!H$2:H$25,"-",0,1)</f>
        <v>3898</v>
      </c>
      <c r="J22" s="11">
        <f>_xlfn.XLOOKUP($B22,'[1]Buyer-Wise'!$A$2:$A$25,'[1]Buyer-Wise'!I$2:I$25,"-",0,1)</f>
        <v>0</v>
      </c>
      <c r="K22" s="11">
        <f>_xlfn.XLOOKUP($B22,'[1]Buyer-Wise'!$A$2:$A$25,'[1]Buyer-Wise'!J$2:J$25,"-",0,1)</f>
        <v>0</v>
      </c>
      <c r="L22" s="11">
        <f>_xlfn.XLOOKUP($B22,'[1]Buyer-Wise'!$A$2:$A$25,'[1]Buyer-Wise'!K$2:K$25,"-",0,1)</f>
        <v>0</v>
      </c>
      <c r="M22" s="11">
        <f t="shared" si="6"/>
        <v>1313465</v>
      </c>
    </row>
    <row r="23" spans="1:13" x14ac:dyDescent="0.25">
      <c r="A23" s="28"/>
      <c r="B23" s="16" t="s">
        <v>30</v>
      </c>
      <c r="C23" s="9">
        <f>_xlfn.XLOOKUP($B23,'[1]Buyer-Wise'!$A$2:$A$25,'[1]Buyer-Wise'!B$2:B$25,"-",0,1)</f>
        <v>4295</v>
      </c>
      <c r="D23" s="10">
        <f>_xlfn.XLOOKUP($B23,'[1]Buyer-Wise'!$A$2:$A$25,'[1]Buyer-Wise'!C$2:C$25,"-",0,1)</f>
        <v>13183</v>
      </c>
      <c r="E23" s="10">
        <f>_xlfn.XLOOKUP($B23,'[1]Buyer-Wise'!$A$2:$A$25,'[1]Buyer-Wise'!D$2:D$25,"-",0,1)</f>
        <v>0</v>
      </c>
      <c r="F23" s="10">
        <f>_xlfn.XLOOKUP($B23,'[1]Buyer-Wise'!$A$2:$A$25,'[1]Buyer-Wise'!E$2:E$25,"-",0,1)</f>
        <v>46102</v>
      </c>
      <c r="G23" s="10">
        <f>_xlfn.XLOOKUP($B23,'[1]Buyer-Wise'!$A$2:$A$25,'[1]Buyer-Wise'!F$2:F$25,"-",0,1)</f>
        <v>15849</v>
      </c>
      <c r="H23" s="9">
        <f>_xlfn.XLOOKUP($B23,'[1]Buyer-Wise'!$A$2:$A$25,'[1]Buyer-Wise'!G$2:G$25,"-",0,1)</f>
        <v>0</v>
      </c>
      <c r="I23" s="9">
        <f>_xlfn.XLOOKUP($B23,'[1]Buyer-Wise'!$A$2:$A$25,'[1]Buyer-Wise'!H$2:H$25,"-",0,1)</f>
        <v>0</v>
      </c>
      <c r="J23" s="9">
        <f>_xlfn.XLOOKUP($B23,'[1]Buyer-Wise'!$A$2:$A$25,'[1]Buyer-Wise'!I$2:I$25,"-",0,1)</f>
        <v>0</v>
      </c>
      <c r="K23" s="9">
        <f>_xlfn.XLOOKUP($B23,'[1]Buyer-Wise'!$A$2:$A$25,'[1]Buyer-Wise'!J$2:J$25,"-",0,1)</f>
        <v>0</v>
      </c>
      <c r="L23" s="9">
        <f>_xlfn.XLOOKUP($B23,'[1]Buyer-Wise'!$A$2:$A$25,'[1]Buyer-Wise'!K$2:K$25,"-",0,1)</f>
        <v>0</v>
      </c>
      <c r="M23" s="10">
        <f t="shared" si="6"/>
        <v>79429</v>
      </c>
    </row>
    <row r="24" spans="1:13" x14ac:dyDescent="0.25">
      <c r="A24" s="28"/>
      <c r="B24" s="12" t="s">
        <v>18</v>
      </c>
      <c r="C24" s="11">
        <f>_xlfn.XLOOKUP($B24,'[1]Buyer-Wise'!$A$2:$A$25,'[1]Buyer-Wise'!B$2:B$25,"-",0,1)</f>
        <v>0</v>
      </c>
      <c r="D24" s="11">
        <f>_xlfn.XLOOKUP($B24,'[1]Buyer-Wise'!$A$2:$A$25,'[1]Buyer-Wise'!C$2:C$25,"-",0,1)</f>
        <v>0</v>
      </c>
      <c r="E24" s="11">
        <f>_xlfn.XLOOKUP($B24,'[1]Buyer-Wise'!$A$2:$A$25,'[1]Buyer-Wise'!D$2:D$25,"-",0,1)</f>
        <v>0</v>
      </c>
      <c r="F24" s="11">
        <f>_xlfn.XLOOKUP($B24,'[1]Buyer-Wise'!$A$2:$A$25,'[1]Buyer-Wise'!E$2:E$25,"-",0,1)</f>
        <v>11700</v>
      </c>
      <c r="G24" s="11">
        <f>_xlfn.XLOOKUP($B24,'[1]Buyer-Wise'!$A$2:$A$25,'[1]Buyer-Wise'!F$2:F$25,"-",0,1)</f>
        <v>0</v>
      </c>
      <c r="H24" s="11">
        <f>_xlfn.XLOOKUP($B24,'[1]Buyer-Wise'!$A$2:$A$25,'[1]Buyer-Wise'!G$2:G$25,"-",0,1)</f>
        <v>0</v>
      </c>
      <c r="I24" s="11">
        <f>_xlfn.XLOOKUP($B24,'[1]Buyer-Wise'!$A$2:$A$25,'[1]Buyer-Wise'!H$2:H$25,"-",0,1)</f>
        <v>0</v>
      </c>
      <c r="J24" s="11">
        <f>_xlfn.XLOOKUP($B24,'[1]Buyer-Wise'!$A$2:$A$25,'[1]Buyer-Wise'!I$2:I$25,"-",0,1)</f>
        <v>0</v>
      </c>
      <c r="K24" s="11">
        <f>_xlfn.XLOOKUP($B24,'[1]Buyer-Wise'!$A$2:$A$25,'[1]Buyer-Wise'!J$2:J$25,"-",0,1)</f>
        <v>0</v>
      </c>
      <c r="L24" s="11">
        <f>_xlfn.XLOOKUP($B24,'[1]Buyer-Wise'!$A$2:$A$25,'[1]Buyer-Wise'!K$2:K$25,"-",0,1)</f>
        <v>0</v>
      </c>
      <c r="M24" s="11">
        <f t="shared" si="6"/>
        <v>11700</v>
      </c>
    </row>
    <row r="25" spans="1:13" x14ac:dyDescent="0.25">
      <c r="A25" s="29"/>
      <c r="B25" s="16" t="s">
        <v>37</v>
      </c>
      <c r="C25" s="9">
        <f>_xlfn.XLOOKUP($B25,'[1]Buyer-Wise'!$A$2:$A$25,'[1]Buyer-Wise'!B$2:B$25,"-",0,1)</f>
        <v>0</v>
      </c>
      <c r="D25" s="10">
        <f>_xlfn.XLOOKUP($B25,'[1]Buyer-Wise'!$A$2:$A$25,'[1]Buyer-Wise'!C$2:C$25,"-",0,1)</f>
        <v>2500</v>
      </c>
      <c r="E25" s="10">
        <f>_xlfn.XLOOKUP($B25,'[1]Buyer-Wise'!$A$2:$A$25,'[1]Buyer-Wise'!D$2:D$25,"-",0,1)</f>
        <v>0</v>
      </c>
      <c r="F25" s="10">
        <f>_xlfn.XLOOKUP($B25,'[1]Buyer-Wise'!$A$2:$A$25,'[1]Buyer-Wise'!E$2:E$25,"-",0,1)</f>
        <v>0</v>
      </c>
      <c r="G25" s="10">
        <f>_xlfn.XLOOKUP($B25,'[1]Buyer-Wise'!$A$2:$A$25,'[1]Buyer-Wise'!F$2:F$25,"-",0,1)</f>
        <v>0</v>
      </c>
      <c r="H25" s="9">
        <f>_xlfn.XLOOKUP($B25,'[1]Buyer-Wise'!$A$2:$A$25,'[1]Buyer-Wise'!G$2:G$25,"-",0,1)</f>
        <v>0</v>
      </c>
      <c r="I25" s="9">
        <f>_xlfn.XLOOKUP($B25,'[1]Buyer-Wise'!$A$2:$A$25,'[1]Buyer-Wise'!H$2:H$25,"-",0,1)</f>
        <v>0</v>
      </c>
      <c r="J25" s="9">
        <f>_xlfn.XLOOKUP($B25,'[1]Buyer-Wise'!$A$2:$A$25,'[1]Buyer-Wise'!I$2:I$25,"-",0,1)</f>
        <v>0</v>
      </c>
      <c r="K25" s="9">
        <f>_xlfn.XLOOKUP($B25,'[1]Buyer-Wise'!$A$2:$A$25,'[1]Buyer-Wise'!J$2:J$25,"-",0,1)</f>
        <v>0</v>
      </c>
      <c r="L25" s="9">
        <f>_xlfn.XLOOKUP($B25,'[1]Buyer-Wise'!$A$2:$A$25,'[1]Buyer-Wise'!K$2:K$25,"-",0,1)</f>
        <v>0</v>
      </c>
      <c r="M25" s="10">
        <f t="shared" si="6"/>
        <v>2500</v>
      </c>
    </row>
    <row r="26" spans="1:13" x14ac:dyDescent="0.25">
      <c r="A26" s="18" t="s">
        <v>14</v>
      </c>
      <c r="B26" s="14" t="s">
        <v>12</v>
      </c>
      <c r="C26" s="5">
        <f>SUM(C27:C38)</f>
        <v>168368</v>
      </c>
      <c r="D26" s="5">
        <f t="shared" ref="D26:L26" si="7">SUM(D27:D38)</f>
        <v>858295</v>
      </c>
      <c r="E26" s="5">
        <f t="shared" si="7"/>
        <v>718089</v>
      </c>
      <c r="F26" s="5">
        <f t="shared" si="7"/>
        <v>661078</v>
      </c>
      <c r="G26" s="5">
        <f t="shared" si="7"/>
        <v>165891</v>
      </c>
      <c r="H26" s="5">
        <f t="shared" si="7"/>
        <v>154906</v>
      </c>
      <c r="I26" s="5">
        <f t="shared" si="7"/>
        <v>30296</v>
      </c>
      <c r="J26" s="5">
        <f t="shared" si="7"/>
        <v>44917</v>
      </c>
      <c r="K26" s="5">
        <f t="shared" si="7"/>
        <v>0</v>
      </c>
      <c r="L26" s="5">
        <f t="shared" si="7"/>
        <v>20027</v>
      </c>
      <c r="M26" s="5">
        <f t="shared" ref="C26:M26" si="8">SUM(M27:M38)</f>
        <v>2821867</v>
      </c>
    </row>
    <row r="27" spans="1:13" x14ac:dyDescent="0.25">
      <c r="A27" s="18"/>
      <c r="B27" s="16" t="s">
        <v>32</v>
      </c>
      <c r="C27" s="9">
        <f>_xlfn.XLOOKUP($B27,'[1]Buyer-Wise'!$A$2:$A$25,'[1]Buyer-Wise'!B$2:B$25,"-",0,1)</f>
        <v>4650</v>
      </c>
      <c r="D27" s="10">
        <f>_xlfn.XLOOKUP($B27,'[1]Buyer-Wise'!$A$2:$A$25,'[1]Buyer-Wise'!C$2:C$25,"-",0,1)</f>
        <v>0</v>
      </c>
      <c r="E27" s="10">
        <f>_xlfn.XLOOKUP($B27,'[1]Buyer-Wise'!$A$2:$A$25,'[1]Buyer-Wise'!D$2:D$25,"-",0,1)</f>
        <v>0</v>
      </c>
      <c r="F27" s="10">
        <f>_xlfn.XLOOKUP($B27,'[1]Buyer-Wise'!$A$2:$A$25,'[1]Buyer-Wise'!E$2:E$25,"-",0,1)</f>
        <v>0</v>
      </c>
      <c r="G27" s="10">
        <f>_xlfn.XLOOKUP($B27,'[1]Buyer-Wise'!$A$2:$A$25,'[1]Buyer-Wise'!F$2:F$25,"-",0,1)</f>
        <v>0</v>
      </c>
      <c r="H27" s="9">
        <f>_xlfn.XLOOKUP($B27,'[1]Buyer-Wise'!$A$2:$A$25,'[1]Buyer-Wise'!G$2:G$25,"-",0,1)</f>
        <v>0</v>
      </c>
      <c r="I27" s="9">
        <f>_xlfn.XLOOKUP($B27,'[1]Buyer-Wise'!$A$2:$A$25,'[1]Buyer-Wise'!H$2:H$25,"-",0,1)</f>
        <v>0</v>
      </c>
      <c r="J27" s="9">
        <f>_xlfn.XLOOKUP($B27,'[1]Buyer-Wise'!$A$2:$A$25,'[1]Buyer-Wise'!I$2:I$25,"-",0,1)</f>
        <v>0</v>
      </c>
      <c r="K27" s="9">
        <f>_xlfn.XLOOKUP($B27,'[1]Buyer-Wise'!$A$2:$A$25,'[1]Buyer-Wise'!J$2:J$25,"-",0,1)</f>
        <v>0</v>
      </c>
      <c r="L27" s="9">
        <f>_xlfn.XLOOKUP($B27,'[1]Buyer-Wise'!$A$2:$A$25,'[1]Buyer-Wise'!K$2:K$25,"-",0,1)</f>
        <v>0</v>
      </c>
      <c r="M27" s="10">
        <f t="shared" ref="M27:M38" si="9">SUM(C27:L27)</f>
        <v>4650</v>
      </c>
    </row>
    <row r="28" spans="1:13" x14ac:dyDescent="0.25">
      <c r="A28" s="18"/>
      <c r="B28" s="16" t="s">
        <v>22</v>
      </c>
      <c r="C28" s="9">
        <f>_xlfn.XLOOKUP($B28,'[1]Buyer-Wise'!$A$2:$A$25,'[1]Buyer-Wise'!B$2:B$25,"-",0,1)</f>
        <v>10235</v>
      </c>
      <c r="D28" s="10">
        <f>_xlfn.XLOOKUP($B28,'[1]Buyer-Wise'!$A$2:$A$25,'[1]Buyer-Wise'!C$2:C$25,"-",0,1)</f>
        <v>1275</v>
      </c>
      <c r="E28" s="10">
        <f>_xlfn.XLOOKUP($B28,'[1]Buyer-Wise'!$A$2:$A$25,'[1]Buyer-Wise'!D$2:D$25,"-",0,1)</f>
        <v>4934</v>
      </c>
      <c r="F28" s="10">
        <f>_xlfn.XLOOKUP($B28,'[1]Buyer-Wise'!$A$2:$A$25,'[1]Buyer-Wise'!E$2:E$25,"-",0,1)</f>
        <v>0</v>
      </c>
      <c r="G28" s="10">
        <f>_xlfn.XLOOKUP($B28,'[1]Buyer-Wise'!$A$2:$A$25,'[1]Buyer-Wise'!F$2:F$25,"-",0,1)</f>
        <v>0</v>
      </c>
      <c r="H28" s="9">
        <f>_xlfn.XLOOKUP($B28,'[1]Buyer-Wise'!$A$2:$A$25,'[1]Buyer-Wise'!G$2:G$25,"-",0,1)</f>
        <v>437</v>
      </c>
      <c r="I28" s="9">
        <f>_xlfn.XLOOKUP($B28,'[1]Buyer-Wise'!$A$2:$A$25,'[1]Buyer-Wise'!H$2:H$25,"-",0,1)</f>
        <v>0</v>
      </c>
      <c r="J28" s="9">
        <f>_xlfn.XLOOKUP($B28,'[1]Buyer-Wise'!$A$2:$A$25,'[1]Buyer-Wise'!I$2:I$25,"-",0,1)</f>
        <v>0</v>
      </c>
      <c r="K28" s="9">
        <f>_xlfn.XLOOKUP($B28,'[1]Buyer-Wise'!$A$2:$A$25,'[1]Buyer-Wise'!J$2:J$25,"-",0,1)</f>
        <v>0</v>
      </c>
      <c r="L28" s="9">
        <f>_xlfn.XLOOKUP($B28,'[1]Buyer-Wise'!$A$2:$A$25,'[1]Buyer-Wise'!K$2:K$25,"-",0,1)</f>
        <v>0</v>
      </c>
      <c r="M28" s="10">
        <f t="shared" si="9"/>
        <v>16881</v>
      </c>
    </row>
    <row r="29" spans="1:13" x14ac:dyDescent="0.25">
      <c r="A29" s="18"/>
      <c r="B29" s="12" t="s">
        <v>23</v>
      </c>
      <c r="C29" s="11">
        <f>_xlfn.XLOOKUP($B29,'[1]Buyer-Wise'!$A$2:$A$25,'[1]Buyer-Wise'!B$2:B$25,"-",0,1)</f>
        <v>0</v>
      </c>
      <c r="D29" s="11">
        <f>_xlfn.XLOOKUP($B29,'[1]Buyer-Wise'!$A$2:$A$25,'[1]Buyer-Wise'!C$2:C$25,"-",0,1)</f>
        <v>0</v>
      </c>
      <c r="E29" s="11">
        <f>_xlfn.XLOOKUP($B29,'[1]Buyer-Wise'!$A$2:$A$25,'[1]Buyer-Wise'!D$2:D$25,"-",0,1)</f>
        <v>395302</v>
      </c>
      <c r="F29" s="11">
        <f>_xlfn.XLOOKUP($B29,'[1]Buyer-Wise'!$A$2:$A$25,'[1]Buyer-Wise'!E$2:E$25,"-",0,1)</f>
        <v>29761</v>
      </c>
      <c r="G29" s="11">
        <f>_xlfn.XLOOKUP($B29,'[1]Buyer-Wise'!$A$2:$A$25,'[1]Buyer-Wise'!F$2:F$25,"-",0,1)</f>
        <v>146187</v>
      </c>
      <c r="H29" s="11">
        <f>_xlfn.XLOOKUP($B29,'[1]Buyer-Wise'!$A$2:$A$25,'[1]Buyer-Wise'!G$2:G$25,"-",0,1)</f>
        <v>0</v>
      </c>
      <c r="I29" s="11">
        <f>_xlfn.XLOOKUP($B29,'[1]Buyer-Wise'!$A$2:$A$25,'[1]Buyer-Wise'!H$2:H$25,"-",0,1)</f>
        <v>0</v>
      </c>
      <c r="J29" s="11">
        <f>_xlfn.XLOOKUP($B29,'[1]Buyer-Wise'!$A$2:$A$25,'[1]Buyer-Wise'!I$2:I$25,"-",0,1)</f>
        <v>0</v>
      </c>
      <c r="K29" s="11">
        <f>_xlfn.XLOOKUP($B29,'[1]Buyer-Wise'!$A$2:$A$25,'[1]Buyer-Wise'!J$2:J$25,"-",0,1)</f>
        <v>0</v>
      </c>
      <c r="L29" s="11">
        <f>_xlfn.XLOOKUP($B29,'[1]Buyer-Wise'!$A$2:$A$25,'[1]Buyer-Wise'!K$2:K$25,"-",0,1)</f>
        <v>0</v>
      </c>
      <c r="M29" s="11">
        <f t="shared" si="9"/>
        <v>571250</v>
      </c>
    </row>
    <row r="30" spans="1:13" x14ac:dyDescent="0.25">
      <c r="A30" s="18"/>
      <c r="B30" s="16" t="s">
        <v>25</v>
      </c>
      <c r="C30" s="9">
        <f>_xlfn.XLOOKUP($B30,'[1]Buyer-Wise'!$A$2:$A$25,'[1]Buyer-Wise'!B$2:B$25,"-",0,1)</f>
        <v>18022</v>
      </c>
      <c r="D30" s="10">
        <f>_xlfn.XLOOKUP($B30,'[1]Buyer-Wise'!$A$2:$A$25,'[1]Buyer-Wise'!C$2:C$25,"-",0,1)</f>
        <v>6974</v>
      </c>
      <c r="E30" s="10">
        <f>_xlfn.XLOOKUP($B30,'[1]Buyer-Wise'!$A$2:$A$25,'[1]Buyer-Wise'!D$2:D$25,"-",0,1)</f>
        <v>19112</v>
      </c>
      <c r="F30" s="10">
        <f>_xlfn.XLOOKUP($B30,'[1]Buyer-Wise'!$A$2:$A$25,'[1]Buyer-Wise'!E$2:E$25,"-",0,1)</f>
        <v>0</v>
      </c>
      <c r="G30" s="10">
        <f>_xlfn.XLOOKUP($B30,'[1]Buyer-Wise'!$A$2:$A$25,'[1]Buyer-Wise'!F$2:F$25,"-",0,1)</f>
        <v>0</v>
      </c>
      <c r="H30" s="9">
        <f>_xlfn.XLOOKUP($B30,'[1]Buyer-Wise'!$A$2:$A$25,'[1]Buyer-Wise'!G$2:G$25,"-",0,1)</f>
        <v>736</v>
      </c>
      <c r="I30" s="9">
        <f>_xlfn.XLOOKUP($B30,'[1]Buyer-Wise'!$A$2:$A$25,'[1]Buyer-Wise'!H$2:H$25,"-",0,1)</f>
        <v>0</v>
      </c>
      <c r="J30" s="9">
        <f>_xlfn.XLOOKUP($B30,'[1]Buyer-Wise'!$A$2:$A$25,'[1]Buyer-Wise'!I$2:I$25,"-",0,1)</f>
        <v>0</v>
      </c>
      <c r="K30" s="9">
        <f>_xlfn.XLOOKUP($B30,'[1]Buyer-Wise'!$A$2:$A$25,'[1]Buyer-Wise'!J$2:J$25,"-",0,1)</f>
        <v>0</v>
      </c>
      <c r="L30" s="9">
        <f>_xlfn.XLOOKUP($B30,'[1]Buyer-Wise'!$A$2:$A$25,'[1]Buyer-Wise'!K$2:K$25,"-",0,1)</f>
        <v>0</v>
      </c>
      <c r="M30" s="10">
        <f t="shared" si="9"/>
        <v>44844</v>
      </c>
    </row>
    <row r="31" spans="1:13" x14ac:dyDescent="0.25">
      <c r="A31" s="18"/>
      <c r="B31" s="12" t="s">
        <v>15</v>
      </c>
      <c r="C31" s="11">
        <f>_xlfn.XLOOKUP($B31,'[1]Buyer-Wise'!$A$2:$A$25,'[1]Buyer-Wise'!B$2:B$25,"-",0,1)</f>
        <v>0</v>
      </c>
      <c r="D31" s="11">
        <f>_xlfn.XLOOKUP($B31,'[1]Buyer-Wise'!$A$2:$A$25,'[1]Buyer-Wise'!C$2:C$25,"-",0,1)</f>
        <v>26830</v>
      </c>
      <c r="E31" s="11">
        <f>_xlfn.XLOOKUP($B31,'[1]Buyer-Wise'!$A$2:$A$25,'[1]Buyer-Wise'!D$2:D$25,"-",0,1)</f>
        <v>0</v>
      </c>
      <c r="F31" s="11">
        <f>_xlfn.XLOOKUP($B31,'[1]Buyer-Wise'!$A$2:$A$25,'[1]Buyer-Wise'!E$2:E$25,"-",0,1)</f>
        <v>0</v>
      </c>
      <c r="G31" s="11">
        <f>_xlfn.XLOOKUP($B31,'[1]Buyer-Wise'!$A$2:$A$25,'[1]Buyer-Wise'!F$2:F$25,"-",0,1)</f>
        <v>0</v>
      </c>
      <c r="H31" s="11">
        <f>_xlfn.XLOOKUP($B31,'[1]Buyer-Wise'!$A$2:$A$25,'[1]Buyer-Wise'!G$2:G$25,"-",0,1)</f>
        <v>0</v>
      </c>
      <c r="I31" s="11">
        <f>_xlfn.XLOOKUP($B31,'[1]Buyer-Wise'!$A$2:$A$25,'[1]Buyer-Wise'!H$2:H$25,"-",0,1)</f>
        <v>0</v>
      </c>
      <c r="J31" s="11">
        <f>_xlfn.XLOOKUP($B31,'[1]Buyer-Wise'!$A$2:$A$25,'[1]Buyer-Wise'!I$2:I$25,"-",0,1)</f>
        <v>0</v>
      </c>
      <c r="K31" s="11">
        <f>_xlfn.XLOOKUP($B31,'[1]Buyer-Wise'!$A$2:$A$25,'[1]Buyer-Wise'!J$2:J$25,"-",0,1)</f>
        <v>0</v>
      </c>
      <c r="L31" s="11">
        <f>_xlfn.XLOOKUP($B31,'[1]Buyer-Wise'!$A$2:$A$25,'[1]Buyer-Wise'!K$2:K$25,"-",0,1)</f>
        <v>0</v>
      </c>
      <c r="M31" s="11">
        <f t="shared" si="9"/>
        <v>26830</v>
      </c>
    </row>
    <row r="32" spans="1:13" x14ac:dyDescent="0.25">
      <c r="A32" s="18"/>
      <c r="B32" s="16" t="s">
        <v>16</v>
      </c>
      <c r="C32" s="9">
        <f>_xlfn.XLOOKUP($B32,'[1]Buyer-Wise'!$A$2:$A$25,'[1]Buyer-Wise'!B$2:B$25,"-",0,1)</f>
        <v>7883</v>
      </c>
      <c r="D32" s="10">
        <f>_xlfn.XLOOKUP($B32,'[1]Buyer-Wise'!$A$2:$A$25,'[1]Buyer-Wise'!C$2:C$25,"-",0,1)</f>
        <v>0</v>
      </c>
      <c r="E32" s="10">
        <f>_xlfn.XLOOKUP($B32,'[1]Buyer-Wise'!$A$2:$A$25,'[1]Buyer-Wise'!D$2:D$25,"-",0,1)</f>
        <v>172286</v>
      </c>
      <c r="F32" s="10">
        <f>_xlfn.XLOOKUP($B32,'[1]Buyer-Wise'!$A$2:$A$25,'[1]Buyer-Wise'!E$2:E$25,"-",0,1)</f>
        <v>151606</v>
      </c>
      <c r="G32" s="10">
        <f>_xlfn.XLOOKUP($B32,'[1]Buyer-Wise'!$A$2:$A$25,'[1]Buyer-Wise'!F$2:F$25,"-",0,1)</f>
        <v>0</v>
      </c>
      <c r="H32" s="9">
        <f>_xlfn.XLOOKUP($B32,'[1]Buyer-Wise'!$A$2:$A$25,'[1]Buyer-Wise'!G$2:G$25,"-",0,1)</f>
        <v>0</v>
      </c>
      <c r="I32" s="9">
        <f>_xlfn.XLOOKUP($B32,'[1]Buyer-Wise'!$A$2:$A$25,'[1]Buyer-Wise'!H$2:H$25,"-",0,1)</f>
        <v>0</v>
      </c>
      <c r="J32" s="9">
        <f>_xlfn.XLOOKUP($B32,'[1]Buyer-Wise'!$A$2:$A$25,'[1]Buyer-Wise'!I$2:I$25,"-",0,1)</f>
        <v>30620</v>
      </c>
      <c r="K32" s="9">
        <f>_xlfn.XLOOKUP($B32,'[1]Buyer-Wise'!$A$2:$A$25,'[1]Buyer-Wise'!J$2:J$25,"-",0,1)</f>
        <v>0</v>
      </c>
      <c r="L32" s="9">
        <f>_xlfn.XLOOKUP($B32,'[1]Buyer-Wise'!$A$2:$A$25,'[1]Buyer-Wise'!K$2:K$25,"-",0,1)</f>
        <v>0</v>
      </c>
      <c r="M32" s="10">
        <f t="shared" si="9"/>
        <v>362395</v>
      </c>
    </row>
    <row r="33" spans="1:13" x14ac:dyDescent="0.25">
      <c r="A33" s="18"/>
      <c r="B33" s="12" t="s">
        <v>27</v>
      </c>
      <c r="C33" s="11">
        <f>_xlfn.XLOOKUP($B33,'[1]Buyer-Wise'!$A$2:$A$25,'[1]Buyer-Wise'!B$2:B$25,"-",0,1)</f>
        <v>13605</v>
      </c>
      <c r="D33" s="11">
        <f>_xlfn.XLOOKUP($B33,'[1]Buyer-Wise'!$A$2:$A$25,'[1]Buyer-Wise'!C$2:C$25,"-",0,1)</f>
        <v>0</v>
      </c>
      <c r="E33" s="11">
        <f>_xlfn.XLOOKUP($B33,'[1]Buyer-Wise'!$A$2:$A$25,'[1]Buyer-Wise'!D$2:D$25,"-",0,1)</f>
        <v>33410</v>
      </c>
      <c r="F33" s="11">
        <f>_xlfn.XLOOKUP($B33,'[1]Buyer-Wise'!$A$2:$A$25,'[1]Buyer-Wise'!E$2:E$25,"-",0,1)</f>
        <v>42878</v>
      </c>
      <c r="G33" s="11">
        <f>_xlfn.XLOOKUP($B33,'[1]Buyer-Wise'!$A$2:$A$25,'[1]Buyer-Wise'!F$2:F$25,"-",0,1)</f>
        <v>10206</v>
      </c>
      <c r="H33" s="11">
        <f>_xlfn.XLOOKUP($B33,'[1]Buyer-Wise'!$A$2:$A$25,'[1]Buyer-Wise'!G$2:G$25,"-",0,1)</f>
        <v>0</v>
      </c>
      <c r="I33" s="11">
        <f>_xlfn.XLOOKUP($B33,'[1]Buyer-Wise'!$A$2:$A$25,'[1]Buyer-Wise'!H$2:H$25,"-",0,1)</f>
        <v>0</v>
      </c>
      <c r="J33" s="11">
        <f>_xlfn.XLOOKUP($B33,'[1]Buyer-Wise'!$A$2:$A$25,'[1]Buyer-Wise'!I$2:I$25,"-",0,1)</f>
        <v>0</v>
      </c>
      <c r="K33" s="11">
        <f>_xlfn.XLOOKUP($B33,'[1]Buyer-Wise'!$A$2:$A$25,'[1]Buyer-Wise'!J$2:J$25,"-",0,1)</f>
        <v>0</v>
      </c>
      <c r="L33" s="11">
        <f>_xlfn.XLOOKUP($B33,'[1]Buyer-Wise'!$A$2:$A$25,'[1]Buyer-Wise'!K$2:K$25,"-",0,1)</f>
        <v>0</v>
      </c>
      <c r="M33" s="11">
        <f t="shared" si="9"/>
        <v>100099</v>
      </c>
    </row>
    <row r="34" spans="1:13" x14ac:dyDescent="0.25">
      <c r="A34" s="18"/>
      <c r="B34" s="16" t="s">
        <v>17</v>
      </c>
      <c r="C34" s="9">
        <f>_xlfn.XLOOKUP($B34,'[1]Buyer-Wise'!$A$2:$A$25,'[1]Buyer-Wise'!B$2:B$25,"-",0,1)</f>
        <v>77371</v>
      </c>
      <c r="D34" s="10">
        <f>_xlfn.XLOOKUP($B34,'[1]Buyer-Wise'!$A$2:$A$25,'[1]Buyer-Wise'!C$2:C$25,"-",0,1)</f>
        <v>687686</v>
      </c>
      <c r="E34" s="10">
        <f>_xlfn.XLOOKUP($B34,'[1]Buyer-Wise'!$A$2:$A$25,'[1]Buyer-Wise'!D$2:D$25,"-",0,1)</f>
        <v>0</v>
      </c>
      <c r="F34" s="10">
        <f>_xlfn.XLOOKUP($B34,'[1]Buyer-Wise'!$A$2:$A$25,'[1]Buyer-Wise'!E$2:E$25,"-",0,1)</f>
        <v>370063</v>
      </c>
      <c r="G34" s="10">
        <f>_xlfn.XLOOKUP($B34,'[1]Buyer-Wise'!$A$2:$A$25,'[1]Buyer-Wise'!F$2:F$25,"-",0,1)</f>
        <v>0</v>
      </c>
      <c r="H34" s="9">
        <f>_xlfn.XLOOKUP($B34,'[1]Buyer-Wise'!$A$2:$A$25,'[1]Buyer-Wise'!G$2:G$25,"-",0,1)</f>
        <v>153187</v>
      </c>
      <c r="I34" s="9">
        <f>_xlfn.XLOOKUP($B34,'[1]Buyer-Wise'!$A$2:$A$25,'[1]Buyer-Wise'!H$2:H$25,"-",0,1)</f>
        <v>0</v>
      </c>
      <c r="J34" s="9">
        <f>_xlfn.XLOOKUP($B34,'[1]Buyer-Wise'!$A$2:$A$25,'[1]Buyer-Wise'!I$2:I$25,"-",0,1)</f>
        <v>14297</v>
      </c>
      <c r="K34" s="9">
        <f>_xlfn.XLOOKUP($B34,'[1]Buyer-Wise'!$A$2:$A$25,'[1]Buyer-Wise'!J$2:J$25,"-",0,1)</f>
        <v>0</v>
      </c>
      <c r="L34" s="9">
        <f>_xlfn.XLOOKUP($B34,'[1]Buyer-Wise'!$A$2:$A$25,'[1]Buyer-Wise'!K$2:K$25,"-",0,1)</f>
        <v>20027</v>
      </c>
      <c r="M34" s="10">
        <f t="shared" si="9"/>
        <v>1322631</v>
      </c>
    </row>
    <row r="35" spans="1:13" x14ac:dyDescent="0.25">
      <c r="A35" s="18"/>
      <c r="B35" s="12" t="s">
        <v>28</v>
      </c>
      <c r="C35" s="11">
        <f>_xlfn.XLOOKUP($B35,'[1]Buyer-Wise'!$A$2:$A$25,'[1]Buyer-Wise'!B$2:B$25,"-",0,1)</f>
        <v>7907</v>
      </c>
      <c r="D35" s="11">
        <f>_xlfn.XLOOKUP($B35,'[1]Buyer-Wise'!$A$2:$A$25,'[1]Buyer-Wise'!C$2:C$25,"-",0,1)</f>
        <v>69732</v>
      </c>
      <c r="E35" s="11">
        <f>_xlfn.XLOOKUP($B35,'[1]Buyer-Wise'!$A$2:$A$25,'[1]Buyer-Wise'!D$2:D$25,"-",0,1)</f>
        <v>93045</v>
      </c>
      <c r="F35" s="11">
        <f>_xlfn.XLOOKUP($B35,'[1]Buyer-Wise'!$A$2:$A$25,'[1]Buyer-Wise'!E$2:E$25,"-",0,1)</f>
        <v>0</v>
      </c>
      <c r="G35" s="11">
        <f>_xlfn.XLOOKUP($B35,'[1]Buyer-Wise'!$A$2:$A$25,'[1]Buyer-Wise'!F$2:F$25,"-",0,1)</f>
        <v>9498</v>
      </c>
      <c r="H35" s="11">
        <f>_xlfn.XLOOKUP($B35,'[1]Buyer-Wise'!$A$2:$A$25,'[1]Buyer-Wise'!G$2:G$25,"-",0,1)</f>
        <v>546</v>
      </c>
      <c r="I35" s="11">
        <f>_xlfn.XLOOKUP($B35,'[1]Buyer-Wise'!$A$2:$A$25,'[1]Buyer-Wise'!H$2:H$25,"-",0,1)</f>
        <v>0</v>
      </c>
      <c r="J35" s="11">
        <f>_xlfn.XLOOKUP($B35,'[1]Buyer-Wise'!$A$2:$A$25,'[1]Buyer-Wise'!I$2:I$25,"-",0,1)</f>
        <v>0</v>
      </c>
      <c r="K35" s="11">
        <f>_xlfn.XLOOKUP($B35,'[1]Buyer-Wise'!$A$2:$A$25,'[1]Buyer-Wise'!J$2:J$25,"-",0,1)</f>
        <v>0</v>
      </c>
      <c r="L35" s="11">
        <f>_xlfn.XLOOKUP($B35,'[1]Buyer-Wise'!$A$2:$A$25,'[1]Buyer-Wise'!K$2:K$25,"-",0,1)</f>
        <v>0</v>
      </c>
      <c r="M35" s="11">
        <f t="shared" si="9"/>
        <v>180728</v>
      </c>
    </row>
    <row r="36" spans="1:13" x14ac:dyDescent="0.25">
      <c r="A36" s="18"/>
      <c r="B36" s="16" t="s">
        <v>33</v>
      </c>
      <c r="C36" s="9">
        <f>_xlfn.XLOOKUP($B36,'[1]Buyer-Wise'!$A$2:$A$25,'[1]Buyer-Wise'!B$2:B$25,"-",0,1)</f>
        <v>15400</v>
      </c>
      <c r="D36" s="10">
        <f>_xlfn.XLOOKUP($B36,'[1]Buyer-Wise'!$A$2:$A$25,'[1]Buyer-Wise'!C$2:C$25,"-",0,1)</f>
        <v>50682</v>
      </c>
      <c r="E36" s="10">
        <f>_xlfn.XLOOKUP($B36,'[1]Buyer-Wise'!$A$2:$A$25,'[1]Buyer-Wise'!D$2:D$25,"-",0,1)</f>
        <v>0</v>
      </c>
      <c r="F36" s="10">
        <f>_xlfn.XLOOKUP($B36,'[1]Buyer-Wise'!$A$2:$A$25,'[1]Buyer-Wise'!E$2:E$25,"-",0,1)</f>
        <v>17871</v>
      </c>
      <c r="G36" s="10">
        <f>_xlfn.XLOOKUP($B36,'[1]Buyer-Wise'!$A$2:$A$25,'[1]Buyer-Wise'!F$2:F$25,"-",0,1)</f>
        <v>0</v>
      </c>
      <c r="H36" s="9">
        <f>_xlfn.XLOOKUP($B36,'[1]Buyer-Wise'!$A$2:$A$25,'[1]Buyer-Wise'!G$2:G$25,"-",0,1)</f>
        <v>0</v>
      </c>
      <c r="I36" s="9">
        <f>_xlfn.XLOOKUP($B36,'[1]Buyer-Wise'!$A$2:$A$25,'[1]Buyer-Wise'!H$2:H$25,"-",0,1)</f>
        <v>0</v>
      </c>
      <c r="J36" s="9">
        <f>_xlfn.XLOOKUP($B36,'[1]Buyer-Wise'!$A$2:$A$25,'[1]Buyer-Wise'!I$2:I$25,"-",0,1)</f>
        <v>0</v>
      </c>
      <c r="K36" s="9">
        <f>_xlfn.XLOOKUP($B36,'[1]Buyer-Wise'!$A$2:$A$25,'[1]Buyer-Wise'!J$2:J$25,"-",0,1)</f>
        <v>0</v>
      </c>
      <c r="L36" s="9">
        <f>_xlfn.XLOOKUP($B36,'[1]Buyer-Wise'!$A$2:$A$25,'[1]Buyer-Wise'!K$2:K$25,"-",0,1)</f>
        <v>0</v>
      </c>
      <c r="M36" s="10">
        <f t="shared" si="9"/>
        <v>83953</v>
      </c>
    </row>
    <row r="37" spans="1:13" x14ac:dyDescent="0.25">
      <c r="A37" s="18"/>
      <c r="B37" s="12" t="s">
        <v>34</v>
      </c>
      <c r="C37" s="11">
        <f>_xlfn.XLOOKUP($B37,'[1]Buyer-Wise'!$A$2:$A$25,'[1]Buyer-Wise'!B$2:B$25,"-",0,1)</f>
        <v>10455</v>
      </c>
      <c r="D37" s="11">
        <f>_xlfn.XLOOKUP($B37,'[1]Buyer-Wise'!$A$2:$A$25,'[1]Buyer-Wise'!C$2:C$25,"-",0,1)</f>
        <v>15116</v>
      </c>
      <c r="E37" s="11">
        <f>_xlfn.XLOOKUP($B37,'[1]Buyer-Wise'!$A$2:$A$25,'[1]Buyer-Wise'!D$2:D$25,"-",0,1)</f>
        <v>0</v>
      </c>
      <c r="F37" s="11">
        <f>_xlfn.XLOOKUP($B37,'[1]Buyer-Wise'!$A$2:$A$25,'[1]Buyer-Wise'!E$2:E$25,"-",0,1)</f>
        <v>48899</v>
      </c>
      <c r="G37" s="11">
        <f>_xlfn.XLOOKUP($B37,'[1]Buyer-Wise'!$A$2:$A$25,'[1]Buyer-Wise'!F$2:F$25,"-",0,1)</f>
        <v>0</v>
      </c>
      <c r="H37" s="11">
        <f>_xlfn.XLOOKUP($B37,'[1]Buyer-Wise'!$A$2:$A$25,'[1]Buyer-Wise'!G$2:G$25,"-",0,1)</f>
        <v>0</v>
      </c>
      <c r="I37" s="11">
        <f>_xlfn.XLOOKUP($B37,'[1]Buyer-Wise'!$A$2:$A$25,'[1]Buyer-Wise'!H$2:H$25,"-",0,1)</f>
        <v>30296</v>
      </c>
      <c r="J37" s="11">
        <f>_xlfn.XLOOKUP($B37,'[1]Buyer-Wise'!$A$2:$A$25,'[1]Buyer-Wise'!I$2:I$25,"-",0,1)</f>
        <v>0</v>
      </c>
      <c r="K37" s="11">
        <f>_xlfn.XLOOKUP($B37,'[1]Buyer-Wise'!$A$2:$A$25,'[1]Buyer-Wise'!J$2:J$25,"-",0,1)</f>
        <v>0</v>
      </c>
      <c r="L37" s="11">
        <f>_xlfn.XLOOKUP($B37,'[1]Buyer-Wise'!$A$2:$A$25,'[1]Buyer-Wise'!K$2:K$25,"-",0,1)</f>
        <v>0</v>
      </c>
      <c r="M37" s="11">
        <f t="shared" si="9"/>
        <v>104766</v>
      </c>
    </row>
    <row r="38" spans="1:13" x14ac:dyDescent="0.25">
      <c r="A38" s="18"/>
      <c r="B38" s="16" t="s">
        <v>36</v>
      </c>
      <c r="C38" s="9">
        <f>_xlfn.XLOOKUP($B38,'[1]Buyer-Wise'!$A$2:$A$25,'[1]Buyer-Wise'!B$2:B$25,"-",0,1)</f>
        <v>2840</v>
      </c>
      <c r="D38" s="10">
        <f>_xlfn.XLOOKUP($B38,'[1]Buyer-Wise'!$A$2:$A$25,'[1]Buyer-Wise'!C$2:C$25,"-",0,1)</f>
        <v>0</v>
      </c>
      <c r="E38" s="10">
        <f>_xlfn.XLOOKUP($B38,'[1]Buyer-Wise'!$A$2:$A$25,'[1]Buyer-Wise'!D$2:D$25,"-",0,1)</f>
        <v>0</v>
      </c>
      <c r="F38" s="10">
        <f>_xlfn.XLOOKUP($B38,'[1]Buyer-Wise'!$A$2:$A$25,'[1]Buyer-Wise'!E$2:E$25,"-",0,1)</f>
        <v>0</v>
      </c>
      <c r="G38" s="10">
        <f>_xlfn.XLOOKUP($B38,'[1]Buyer-Wise'!$A$2:$A$25,'[1]Buyer-Wise'!F$2:F$25,"-",0,1)</f>
        <v>0</v>
      </c>
      <c r="H38" s="9">
        <f>_xlfn.XLOOKUP($B38,'[1]Buyer-Wise'!$A$2:$A$25,'[1]Buyer-Wise'!G$2:G$25,"-",0,1)</f>
        <v>0</v>
      </c>
      <c r="I38" s="9">
        <f>_xlfn.XLOOKUP($B38,'[1]Buyer-Wise'!$A$2:$A$25,'[1]Buyer-Wise'!H$2:H$25,"-",0,1)</f>
        <v>0</v>
      </c>
      <c r="J38" s="9">
        <f>_xlfn.XLOOKUP($B38,'[1]Buyer-Wise'!$A$2:$A$25,'[1]Buyer-Wise'!I$2:I$25,"-",0,1)</f>
        <v>0</v>
      </c>
      <c r="K38" s="9">
        <f>_xlfn.XLOOKUP($B38,'[1]Buyer-Wise'!$A$2:$A$25,'[1]Buyer-Wise'!J$2:J$25,"-",0,1)</f>
        <v>0</v>
      </c>
      <c r="L38" s="9">
        <f>_xlfn.XLOOKUP($B38,'[1]Buyer-Wise'!$A$2:$A$25,'[1]Buyer-Wise'!K$2:K$25,"-",0,1)</f>
        <v>0</v>
      </c>
      <c r="M38" s="10">
        <f t="shared" si="9"/>
        <v>2840</v>
      </c>
    </row>
    <row r="39" spans="1:13" x14ac:dyDescent="0.25">
      <c r="A39" s="16"/>
      <c r="B39" s="16"/>
      <c r="C39" s="17">
        <f t="shared" ref="C39:M39" si="10">SUM(C13,C20,C26)</f>
        <v>690426</v>
      </c>
      <c r="D39" s="17">
        <f t="shared" si="10"/>
        <v>2024416</v>
      </c>
      <c r="E39" s="17">
        <f t="shared" si="10"/>
        <v>2014120</v>
      </c>
      <c r="F39" s="17">
        <f t="shared" si="10"/>
        <v>2097809</v>
      </c>
      <c r="G39" s="17">
        <f t="shared" si="10"/>
        <v>2733716</v>
      </c>
      <c r="H39" s="17">
        <f t="shared" si="10"/>
        <v>361318</v>
      </c>
      <c r="I39" s="17">
        <f t="shared" si="10"/>
        <v>131457</v>
      </c>
      <c r="J39" s="17">
        <f t="shared" si="10"/>
        <v>77989</v>
      </c>
      <c r="K39" s="17">
        <f t="shared" si="10"/>
        <v>14401</v>
      </c>
      <c r="L39" s="17">
        <f t="shared" si="10"/>
        <v>24493</v>
      </c>
      <c r="M39" s="17">
        <f t="shared" si="10"/>
        <v>10170145</v>
      </c>
    </row>
  </sheetData>
  <mergeCells count="9">
    <mergeCell ref="A26:A38"/>
    <mergeCell ref="B3:B4"/>
    <mergeCell ref="M3:M4"/>
    <mergeCell ref="A13:A19"/>
    <mergeCell ref="B1:L1"/>
    <mergeCell ref="D3:G3"/>
    <mergeCell ref="H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H13" formulaRange="1"/>
    <ignoredError sqref="D5:K5" twoDigitTextYear="1"/>
    <ignoredError sqref="M26 C20:L20 C26:L2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2024-10-16T06:32:40Z</cp:lastPrinted>
  <dcterms:created xsi:type="dcterms:W3CDTF">2015-06-05T18:17:20Z</dcterms:created>
  <dcterms:modified xsi:type="dcterms:W3CDTF">2024-10-16T06:36:42Z</dcterms:modified>
</cp:coreProperties>
</file>