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E7A44044-899F-4212-BF42-BC436248531F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Sheet1!$B$3:$M$40</definedName>
    <definedName name="_xlnm.Print_Area" localSheetId="0">Sheet1!$A$1:$M$40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36" i="3"/>
  <c r="M37" i="3"/>
  <c r="M1" i="3"/>
  <c r="M28" i="3"/>
  <c r="M29" i="3"/>
  <c r="M30" i="3"/>
  <c r="M31" i="3"/>
  <c r="M32" i="3"/>
  <c r="M33" i="3"/>
  <c r="M34" i="3"/>
  <c r="M35" i="3"/>
  <c r="M38" i="3"/>
  <c r="M39" i="3"/>
  <c r="H26" i="3"/>
  <c r="H13" i="3"/>
  <c r="H20" i="3"/>
  <c r="M23" i="3"/>
  <c r="H4" i="3"/>
  <c r="M21" i="3"/>
  <c r="J20" i="3"/>
  <c r="M22" i="3"/>
  <c r="E20" i="3"/>
  <c r="H40" i="3" l="1"/>
  <c r="M24" i="3"/>
  <c r="M25" i="3"/>
  <c r="L26" i="3"/>
  <c r="L40" i="3" s="1"/>
  <c r="E26" i="3"/>
  <c r="K20" i="3"/>
  <c r="C20" i="3"/>
  <c r="D26" i="3"/>
  <c r="D40" i="3" s="1"/>
  <c r="I20" i="3"/>
  <c r="G26" i="3"/>
  <c r="J26" i="3"/>
  <c r="J40" i="3" s="1"/>
  <c r="F20" i="3"/>
  <c r="I26" i="3"/>
  <c r="D20" i="3"/>
  <c r="C26" i="3"/>
  <c r="K26" i="3"/>
  <c r="F26" i="3"/>
  <c r="L20" i="3"/>
  <c r="G20" i="3"/>
  <c r="M19" i="3"/>
  <c r="M15" i="3"/>
  <c r="M16" i="3"/>
  <c r="L13" i="3"/>
  <c r="K13" i="3"/>
  <c r="J13" i="3"/>
  <c r="I13" i="3"/>
  <c r="M17" i="3"/>
  <c r="L4" i="3"/>
  <c r="K4" i="3"/>
  <c r="J4" i="3"/>
  <c r="I4" i="3"/>
  <c r="G4" i="3"/>
  <c r="F4" i="3"/>
  <c r="E4" i="3"/>
  <c r="D4" i="3"/>
  <c r="C4" i="3"/>
  <c r="C3" i="3" s="1"/>
  <c r="C13" i="3"/>
  <c r="D13" i="3"/>
  <c r="E13" i="3"/>
  <c r="M27" i="3"/>
  <c r="F13" i="3"/>
  <c r="M18" i="3"/>
  <c r="M14" i="3"/>
  <c r="G13" i="3"/>
  <c r="K40" i="3" l="1"/>
  <c r="G40" i="3"/>
  <c r="C40" i="3"/>
  <c r="F40" i="3"/>
  <c r="I40" i="3"/>
  <c r="E40" i="3"/>
  <c r="M20" i="3"/>
  <c r="I3" i="3"/>
  <c r="D3" i="3"/>
  <c r="M3" i="3"/>
  <c r="M26" i="3"/>
  <c r="M13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<sst xmlns="http://schemas.openxmlformats.org/spreadsheetml/2006/main" count="52" uniqueCount="50">
  <si>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</si>
  <si>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</si>
  <si>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</si>
  <si>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</si>
  <si>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</si>
  <si>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</si>
  <si>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</si>
  <si>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</si>
  <si>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</si>
  <si>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</si>
  <si>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</si>
  <si>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</si>
  <si>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</si>
  <si>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</si>
  <si>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</si>
  <si>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</si>
  <si>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</si>
  <si>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</si>
  <si>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</si>
  <si>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</si>
  <si>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</si>
  <si>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</si>
  <si>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</si>
  <si>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</si>
  <si>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</si>
  <si>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</si>
  <si>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</si>
  <si>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</si>
  <si>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</si>
  <si>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</si>
  <si>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</si>
  <si>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</si>
  <si>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</si>
  <si>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</si>
  <si>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OCHNIK</t>
  </si>
  <si>
    <t>ITX LADIES</t>
  </si>
  <si>
    <t>ITX KIDS</t>
  </si>
  <si>
    <t>JKL2</t>
  </si>
  <si>
    <t>ESPRIT MACAO COMMERCIAL OFFSHORE LTD.</t>
  </si>
  <si>
    <t>CAMEL ACTIVE / BHB-Fashion Service Gmbh</t>
  </si>
  <si>
    <t>Before Feb</t>
  </si>
  <si>
    <t>1-7/Feb</t>
  </si>
  <si>
    <t>8-15/Feb</t>
  </si>
  <si>
    <t>16-23/Feb</t>
  </si>
  <si>
    <t>24-28/Feb</t>
  </si>
  <si>
    <t>1-5/Mar</t>
  </si>
  <si>
    <t>6-10/Mar</t>
  </si>
  <si>
    <t>11-20/Mar</t>
  </si>
  <si>
    <t>21-31/Mar</t>
  </si>
  <si>
    <t>Feb-25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</si>
</sst>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3" fontId="3" fillId="3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B1" zoomScaleNormal="100" workbookViewId="0">
      <selection activeCell="H8" sqref="H8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" style="1" bestFit="1" customWidth="1"/>
    <col min="6" max="7" width="13.28515625" style="1" bestFit="1" customWidth="1"/>
    <col min="8" max="8" width="11.5703125" style="1" bestFit="1" customWidth="1"/>
    <col min="9" max="9" width="12.28515625" style="1" bestFit="1" customWidth="1"/>
    <col min="10" max="11" width="13.5703125" style="1" bestFit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4" t="s">
        <v>49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17">
        <f ca="1">TODAY()</f>
        <v>45689</v>
      </c>
    </row>
    <row r="2" spans="1:13" x14ac:dyDescent="0.25">
      <c r="A2" s="2" t="s">
        <v>0</v>
      </c>
    </row>
    <row r="3" spans="1:13" ht="15.75" x14ac:dyDescent="0.25">
      <c r="B3" s="19" t="s">
        <v>1</v>
      </c>
      <c r="C3" s="3">
        <f>C4</f>
        <v>1867878</v>
      </c>
      <c r="D3" s="25">
        <f>SUM(D4:G4)</f>
        <v>11322743</v>
      </c>
      <c r="E3" s="25"/>
      <c r="F3" s="25"/>
      <c r="G3" s="25"/>
      <c r="H3" s="16"/>
      <c r="I3" s="25">
        <f>SUM(I4:L4)</f>
        <v>653155</v>
      </c>
      <c r="J3" s="25"/>
      <c r="K3" s="25"/>
      <c r="L3" s="25"/>
      <c r="M3" s="20">
        <f>SUM(M6:M11)</f>
        <v>14990968</v>
      </c>
    </row>
    <row r="4" spans="1:13" x14ac:dyDescent="0.25">
      <c r="B4" s="19"/>
      <c r="C4" s="4">
        <f>SUM(C6:C11)</f>
        <v>1867878</v>
      </c>
      <c r="D4" s="4">
        <f t="shared" ref="D4:I4" si="0">SUM(D6:D11)</f>
        <v>3061538</v>
      </c>
      <c r="E4" s="4">
        <f t="shared" si="0"/>
        <v>4023380</v>
      </c>
      <c r="F4" s="4">
        <f t="shared" si="0"/>
        <v>3295905</v>
      </c>
      <c r="G4" s="4">
        <f t="shared" si="0"/>
        <v>941920</v>
      </c>
      <c r="H4" s="4">
        <f t="shared" si="0"/>
        <v>1147192</v>
      </c>
      <c r="I4" s="4">
        <f t="shared" si="0"/>
        <v>391799</v>
      </c>
      <c r="J4" s="4">
        <f>SUM(J6:J11)</f>
        <v>164058</v>
      </c>
      <c r="K4" s="4">
        <f>SUM(K6:K11)</f>
        <v>68403</v>
      </c>
      <c r="L4" s="4">
        <f>SUM(L6:L11)</f>
        <v>28895</v>
      </c>
      <c r="M4" s="20"/>
    </row>
    <row r="5" spans="1:13" ht="15.75" customHeight="1" x14ac:dyDescent="0.25">
      <c r="B5" s="5" t="s">
        <v>2</v>
      </c>
      <c r="C5" s="6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222260</v>
      </c>
      <c r="D6" s="9">
        <v>231625</v>
      </c>
      <c r="E6" s="9">
        <v>1174653</v>
      </c>
      <c r="F6" s="9">
        <v>1060834</v>
      </c>
      <c r="G6" s="9">
        <v>214519</v>
      </c>
      <c r="H6" s="8">
        <v>512464</v>
      </c>
      <c r="I6" s="8">
        <v>74407</v>
      </c>
      <c r="J6" s="8"/>
      <c r="K6" s="8"/>
      <c r="L6" s="8"/>
      <c r="M6" s="9">
        <f t="shared" ref="M6:M11" si="1">SUM(C6:L6)</f>
        <v>3490762</v>
      </c>
    </row>
    <row r="7" spans="1:13" x14ac:dyDescent="0.25">
      <c r="B7" s="11" t="s">
        <v>6</v>
      </c>
      <c r="C7" s="10">
        <v>427999</v>
      </c>
      <c r="D7" s="10">
        <v>476218</v>
      </c>
      <c r="E7" s="10">
        <v>574428</v>
      </c>
      <c r="F7" s="10">
        <v>204641</v>
      </c>
      <c r="G7" s="10">
        <v>68744</v>
      </c>
      <c r="H7" s="10">
        <v>14664</v>
      </c>
      <c r="I7" s="10">
        <v>833</v>
      </c>
      <c r="J7" s="11"/>
      <c r="K7" s="10"/>
      <c r="L7" s="10"/>
      <c r="M7" s="10">
        <f t="shared" si="1"/>
        <v>1767527</v>
      </c>
    </row>
    <row r="8" spans="1:13" x14ac:dyDescent="0.25">
      <c r="B8" s="14" t="s">
        <v>7</v>
      </c>
      <c r="C8" s="8">
        <v>458252</v>
      </c>
      <c r="D8" s="9">
        <v>794409</v>
      </c>
      <c r="E8" s="9">
        <v>224836</v>
      </c>
      <c r="F8" s="9">
        <v>315922</v>
      </c>
      <c r="G8" s="9">
        <v>43734</v>
      </c>
      <c r="H8" s="8">
        <v>174997</v>
      </c>
      <c r="I8" s="8">
        <v>21679</v>
      </c>
      <c r="J8" s="8">
        <v>31038</v>
      </c>
      <c r="K8" s="8">
        <v>1500</v>
      </c>
      <c r="L8" s="8">
        <v>1470</v>
      </c>
      <c r="M8" s="9">
        <f t="shared" si="1"/>
        <v>2067837</v>
      </c>
    </row>
    <row r="9" spans="1:13" x14ac:dyDescent="0.25">
      <c r="B9" s="11" t="s">
        <v>8</v>
      </c>
      <c r="C9" s="10">
        <v>59562</v>
      </c>
      <c r="D9" s="10">
        <v>113224</v>
      </c>
      <c r="E9" s="10">
        <v>136877</v>
      </c>
      <c r="F9" s="10">
        <v>407350</v>
      </c>
      <c r="G9" s="10">
        <v>105276</v>
      </c>
      <c r="H9" s="10">
        <v>137396</v>
      </c>
      <c r="I9" s="10">
        <v>292303</v>
      </c>
      <c r="J9" s="11">
        <v>132987</v>
      </c>
      <c r="K9" s="10">
        <v>66903</v>
      </c>
      <c r="L9" s="10">
        <v>27425</v>
      </c>
      <c r="M9" s="10">
        <f t="shared" si="1"/>
        <v>1479303</v>
      </c>
    </row>
    <row r="10" spans="1:13" x14ac:dyDescent="0.25">
      <c r="B10" s="14" t="s">
        <v>9</v>
      </c>
      <c r="C10" s="8">
        <v>316981</v>
      </c>
      <c r="D10" s="9">
        <v>650332</v>
      </c>
      <c r="E10" s="9">
        <v>791570</v>
      </c>
      <c r="F10" s="9">
        <v>490313</v>
      </c>
      <c r="G10" s="9">
        <v>281385</v>
      </c>
      <c r="H10" s="8">
        <v>140309</v>
      </c>
      <c r="I10" s="8">
        <v>2577</v>
      </c>
      <c r="J10" s="8">
        <v>33</v>
      </c>
      <c r="K10" s="8"/>
      <c r="L10" s="8"/>
      <c r="M10" s="9">
        <f t="shared" si="1"/>
        <v>2673500</v>
      </c>
    </row>
    <row r="11" spans="1:13" x14ac:dyDescent="0.25">
      <c r="B11" s="11" t="s">
        <v>37</v>
      </c>
      <c r="C11" s="10">
        <v>382824</v>
      </c>
      <c r="D11" s="10">
        <v>795730</v>
      </c>
      <c r="E11" s="10">
        <v>1121016</v>
      </c>
      <c r="F11" s="10">
        <v>816845</v>
      </c>
      <c r="G11" s="10">
        <v>228262</v>
      </c>
      <c r="H11" s="10">
        <v>167362</v>
      </c>
      <c r="I11" s="10"/>
      <c r="J11" s="11"/>
      <c r="K11" s="10"/>
      <c r="L11" s="10"/>
      <c r="M11" s="10">
        <f t="shared" si="1"/>
        <v>3512039</v>
      </c>
    </row>
    <row r="12" spans="1:13" ht="25.5" customHeight="1" x14ac:dyDescent="0.25">
      <c r="A12" s="26" t="s">
        <v>10</v>
      </c>
      <c r="B12" s="26"/>
      <c r="C12" s="26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1" t="s">
        <v>11</v>
      </c>
      <c r="B13" s="13" t="s">
        <v>12</v>
      </c>
      <c r="C13" s="4">
        <f t="shared" ref="C13:M13" si="2">SUM(C14:C19)</f>
        <v>803896</v>
      </c>
      <c r="D13" s="4">
        <f t="shared" si="2"/>
        <v>812621</v>
      </c>
      <c r="E13" s="4">
        <f t="shared" si="2"/>
        <v>1008654</v>
      </c>
      <c r="F13" s="4">
        <f t="shared" si="2"/>
        <v>435813</v>
      </c>
      <c r="G13" s="4">
        <f t="shared" si="2"/>
        <v>208404</v>
      </c>
      <c r="H13" s="4">
        <f>SUM(H14:H19)</f>
        <v>127082</v>
      </c>
      <c r="I13" s="4">
        <f t="shared" si="2"/>
        <v>314815</v>
      </c>
      <c r="J13" s="4">
        <f t="shared" si="2"/>
        <v>158715</v>
      </c>
      <c r="K13" s="4">
        <f t="shared" si="2"/>
        <v>68403</v>
      </c>
      <c r="L13" s="4">
        <f t="shared" si="2"/>
        <v>28895</v>
      </c>
      <c r="M13" s="4">
        <f t="shared" si="2"/>
        <v>3967298</v>
      </c>
    </row>
    <row r="14" spans="1:13" x14ac:dyDescent="0.25">
      <c r="A14" s="22"/>
      <c r="B14" s="14" t="s">
        <v>19</v>
      </c>
      <c r="C14" s="8">
        <v>580124</v>
      </c>
      <c r="D14" s="9">
        <v>689151</v>
      </c>
      <c r="E14" s="9">
        <v>828785</v>
      </c>
      <c r="F14" s="9">
        <v>354651</v>
      </c>
      <c r="G14" s="9">
        <v>15060</v>
      </c>
      <c r="H14" s="8">
        <v>117290</v>
      </c>
      <c r="I14" s="8">
        <v>87220</v>
      </c>
      <c r="J14" s="8">
        <v>68809</v>
      </c>
      <c r="K14" s="8">
        <v>28267</v>
      </c>
      <c r="L14" s="8">
        <v>7170</v>
      </c>
      <c r="M14" s="9">
        <f t="shared" ref="M14:M19" si="3">SUM(C14:L14)</f>
        <v>2776527</v>
      </c>
    </row>
    <row r="15" spans="1:13" x14ac:dyDescent="0.25">
      <c r="A15" s="22"/>
      <c r="B15" s="11" t="s">
        <v>20</v>
      </c>
      <c r="C15" s="10">
        <v>49390</v>
      </c>
      <c r="D15" s="10">
        <v>96546</v>
      </c>
      <c r="E15" s="10">
        <v>3516</v>
      </c>
      <c r="F15" s="10">
        <v>27807</v>
      </c>
      <c r="G15" s="10">
        <v>83268</v>
      </c>
      <c r="H15" s="10">
        <v>5758</v>
      </c>
      <c r="I15" s="10"/>
      <c r="J15" s="10"/>
      <c r="K15" s="10"/>
      <c r="L15" s="10"/>
      <c r="M15" s="10">
        <f t="shared" si="3"/>
        <v>266285</v>
      </c>
    </row>
    <row r="16" spans="1:13" x14ac:dyDescent="0.25">
      <c r="A16" s="22"/>
      <c r="B16" s="14" t="s">
        <v>26</v>
      </c>
      <c r="C16" s="8">
        <v>168140</v>
      </c>
      <c r="D16" s="9">
        <v>25998</v>
      </c>
      <c r="E16" s="9">
        <v>167377</v>
      </c>
      <c r="F16" s="9">
        <v>31593</v>
      </c>
      <c r="G16" s="9">
        <v>4800</v>
      </c>
      <c r="H16" s="8"/>
      <c r="I16" s="8"/>
      <c r="J16" s="8"/>
      <c r="K16" s="8"/>
      <c r="L16" s="8"/>
      <c r="M16" s="9">
        <f t="shared" si="3"/>
        <v>397908</v>
      </c>
    </row>
    <row r="17" spans="1:13" x14ac:dyDescent="0.25">
      <c r="A17" s="22"/>
      <c r="B17" s="11" t="s">
        <v>29</v>
      </c>
      <c r="C17" s="10">
        <v>6242</v>
      </c>
      <c r="D17" s="10">
        <v>926</v>
      </c>
      <c r="E17" s="10">
        <v>8976</v>
      </c>
      <c r="F17" s="10">
        <v>21762</v>
      </c>
      <c r="G17" s="10">
        <v>105276</v>
      </c>
      <c r="H17" s="10">
        <v>4034</v>
      </c>
      <c r="I17" s="10">
        <v>227595</v>
      </c>
      <c r="J17" s="10">
        <v>89906</v>
      </c>
      <c r="K17" s="10">
        <v>40136</v>
      </c>
      <c r="L17" s="10">
        <v>21725</v>
      </c>
      <c r="M17" s="10">
        <f t="shared" si="3"/>
        <v>526578</v>
      </c>
    </row>
    <row r="18" spans="1:13" x14ac:dyDescent="0.25">
      <c r="A18" s="22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 t="shared" si="3"/>
        <v>0</v>
      </c>
    </row>
    <row r="19" spans="1:13" x14ac:dyDescent="0.25">
      <c r="A19" s="23"/>
      <c r="B19" s="11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3"/>
        <v>0</v>
      </c>
    </row>
    <row r="20" spans="1:13" ht="15" customHeight="1" x14ac:dyDescent="0.25">
      <c r="A20" s="27" t="s">
        <v>13</v>
      </c>
      <c r="B20" s="13" t="s">
        <v>12</v>
      </c>
      <c r="C20" s="4">
        <f>SUM(C21:C25)</f>
        <v>751914</v>
      </c>
      <c r="D20" s="4">
        <f t="shared" ref="D20:L20" si="4">SUM(D21:D25)</f>
        <v>1118166</v>
      </c>
      <c r="E20" s="4">
        <f t="shared" si="4"/>
        <v>2806135</v>
      </c>
      <c r="F20" s="4">
        <f t="shared" si="4"/>
        <v>1756789</v>
      </c>
      <c r="G20" s="4">
        <f t="shared" si="4"/>
        <v>612108</v>
      </c>
      <c r="H20" s="4">
        <f t="shared" si="4"/>
        <v>705953</v>
      </c>
      <c r="I20" s="4">
        <f t="shared" si="4"/>
        <v>76984</v>
      </c>
      <c r="J20" s="4">
        <f t="shared" si="4"/>
        <v>33</v>
      </c>
      <c r="K20" s="4">
        <f t="shared" si="4"/>
        <v>0</v>
      </c>
      <c r="L20" s="4">
        <f t="shared" si="4"/>
        <v>0</v>
      </c>
      <c r="M20" s="4">
        <f t="shared" ref="M20" si="5">SUM(M21:M25)</f>
        <v>7828082</v>
      </c>
    </row>
    <row r="21" spans="1:13" x14ac:dyDescent="0.25">
      <c r="A21" s="28"/>
      <c r="B21" s="14" t="s">
        <v>21</v>
      </c>
      <c r="C21" s="8">
        <v>252965</v>
      </c>
      <c r="D21" s="9">
        <v>175129</v>
      </c>
      <c r="E21" s="9">
        <v>380180</v>
      </c>
      <c r="F21" s="9">
        <v>353916</v>
      </c>
      <c r="G21" s="9">
        <v>150138</v>
      </c>
      <c r="H21" s="8">
        <v>64669</v>
      </c>
      <c r="I21" s="8">
        <v>68841</v>
      </c>
      <c r="J21" s="8"/>
      <c r="K21" s="8"/>
      <c r="L21" s="8"/>
      <c r="M21" s="9">
        <f>SUM(C21:L21)</f>
        <v>1445838</v>
      </c>
    </row>
    <row r="22" spans="1:13" x14ac:dyDescent="0.25">
      <c r="A22" s="28"/>
      <c r="B22" s="11" t="s">
        <v>24</v>
      </c>
      <c r="C22" s="10">
        <v>462793</v>
      </c>
      <c r="D22" s="10">
        <v>943037</v>
      </c>
      <c r="E22" s="10">
        <v>2410315</v>
      </c>
      <c r="F22" s="10">
        <v>1383703</v>
      </c>
      <c r="G22" s="10">
        <v>453236</v>
      </c>
      <c r="H22" s="10">
        <v>641284</v>
      </c>
      <c r="I22" s="10">
        <v>8143</v>
      </c>
      <c r="J22" s="10">
        <v>33</v>
      </c>
      <c r="K22" s="10"/>
      <c r="L22" s="10"/>
      <c r="M22" s="10">
        <f>SUM(C22:L22)</f>
        <v>6302544</v>
      </c>
    </row>
    <row r="23" spans="1:13" x14ac:dyDescent="0.25">
      <c r="A23" s="28"/>
      <c r="B23" s="14" t="s">
        <v>30</v>
      </c>
      <c r="C23" s="8">
        <v>25856</v>
      </c>
      <c r="D23" s="9"/>
      <c r="E23" s="9">
        <v>15640</v>
      </c>
      <c r="F23" s="9">
        <v>19170</v>
      </c>
      <c r="G23" s="9"/>
      <c r="H23" s="8"/>
      <c r="I23" s="8"/>
      <c r="J23" s="8"/>
      <c r="K23" s="8"/>
      <c r="L23" s="8"/>
      <c r="M23" s="9">
        <f>SUM(C23:L23)</f>
        <v>60666</v>
      </c>
    </row>
    <row r="24" spans="1:13" x14ac:dyDescent="0.25">
      <c r="A24" s="28"/>
      <c r="B24" s="11" t="s">
        <v>18</v>
      </c>
      <c r="C24" s="10">
        <v>10300</v>
      </c>
      <c r="D24" s="10"/>
      <c r="E24" s="10"/>
      <c r="F24" s="10"/>
      <c r="G24" s="10">
        <v>8734</v>
      </c>
      <c r="H24" s="10"/>
      <c r="I24" s="10"/>
      <c r="J24" s="10"/>
      <c r="K24" s="10"/>
      <c r="L24" s="10"/>
      <c r="M24" s="10">
        <f>SUM(C24:L24)</f>
        <v>19034</v>
      </c>
    </row>
    <row r="25" spans="1:13" x14ac:dyDescent="0.25">
      <c r="A25" s="29"/>
      <c r="B25" s="14" t="s">
        <v>36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8" t="s">
        <v>14</v>
      </c>
      <c r="B26" s="13" t="s">
        <v>12</v>
      </c>
      <c r="C26" s="4">
        <f t="shared" ref="C26:M26" si="6">SUM(C27:C39)</f>
        <v>312068</v>
      </c>
      <c r="D26" s="4">
        <f t="shared" si="6"/>
        <v>1130750</v>
      </c>
      <c r="E26" s="4">
        <f t="shared" si="6"/>
        <v>208592</v>
      </c>
      <c r="F26" s="4">
        <f t="shared" si="6"/>
        <v>1103302</v>
      </c>
      <c r="G26" s="4">
        <f t="shared" si="6"/>
        <v>121408</v>
      </c>
      <c r="H26" s="4">
        <f t="shared" si="6"/>
        <v>314155</v>
      </c>
      <c r="I26" s="4">
        <f t="shared" si="6"/>
        <v>0</v>
      </c>
      <c r="J26" s="4">
        <f t="shared" si="6"/>
        <v>5310</v>
      </c>
      <c r="K26" s="4">
        <f t="shared" si="6"/>
        <v>0</v>
      </c>
      <c r="L26" s="4">
        <f t="shared" si="6"/>
        <v>0</v>
      </c>
      <c r="M26" s="4">
        <f t="shared" si="6"/>
        <v>3195585</v>
      </c>
    </row>
    <row r="27" spans="1:13" x14ac:dyDescent="0.25">
      <c r="A27" s="18"/>
      <c r="B27" s="14" t="s">
        <v>32</v>
      </c>
      <c r="C27" s="8">
        <v>26081</v>
      </c>
      <c r="D27" s="9"/>
      <c r="E27" s="9"/>
      <c r="F27" s="9"/>
      <c r="G27" s="9"/>
      <c r="H27" s="8"/>
      <c r="I27" s="8"/>
      <c r="J27" s="8"/>
      <c r="K27" s="8"/>
      <c r="L27" s="8"/>
      <c r="M27" s="9">
        <f t="shared" ref="M27:M39" si="7">SUM(C27:L27)</f>
        <v>26081</v>
      </c>
    </row>
    <row r="28" spans="1:13" x14ac:dyDescent="0.25">
      <c r="A28" s="18"/>
      <c r="B28" s="14" t="s">
        <v>38</v>
      </c>
      <c r="C28" s="8"/>
      <c r="D28" s="9"/>
      <c r="E28" s="9"/>
      <c r="F28" s="9"/>
      <c r="G28" s="9"/>
      <c r="H28" s="8"/>
      <c r="I28" s="8"/>
      <c r="J28" s="8"/>
      <c r="K28" s="8"/>
      <c r="L28" s="8"/>
      <c r="M28" s="9">
        <f t="shared" si="7"/>
        <v>0</v>
      </c>
    </row>
    <row r="29" spans="1:13" x14ac:dyDescent="0.25">
      <c r="A29" s="18"/>
      <c r="B29" s="11" t="s">
        <v>22</v>
      </c>
      <c r="C29" s="10">
        <v>8171</v>
      </c>
      <c r="D29" s="10">
        <v>4935</v>
      </c>
      <c r="E29" s="10">
        <v>10106</v>
      </c>
      <c r="F29" s="10">
        <v>11143</v>
      </c>
      <c r="G29" s="10"/>
      <c r="H29" s="10">
        <v>33047</v>
      </c>
      <c r="I29" s="10"/>
      <c r="J29" s="10"/>
      <c r="K29" s="10"/>
      <c r="L29" s="10"/>
      <c r="M29" s="10">
        <f t="shared" si="7"/>
        <v>67402</v>
      </c>
    </row>
    <row r="30" spans="1:13" x14ac:dyDescent="0.25">
      <c r="A30" s="18"/>
      <c r="B30" s="14" t="s">
        <v>23</v>
      </c>
      <c r="C30" s="8">
        <v>63284</v>
      </c>
      <c r="D30" s="9">
        <v>551374</v>
      </c>
      <c r="E30" s="9">
        <v>9252</v>
      </c>
      <c r="F30" s="9">
        <v>261907</v>
      </c>
      <c r="G30" s="9">
        <v>37642</v>
      </c>
      <c r="H30" s="8"/>
      <c r="I30" s="8"/>
      <c r="J30" s="8"/>
      <c r="K30" s="8"/>
      <c r="L30" s="8"/>
      <c r="M30" s="9">
        <f t="shared" si="7"/>
        <v>923459</v>
      </c>
    </row>
    <row r="31" spans="1:13" x14ac:dyDescent="0.25">
      <c r="A31" s="18"/>
      <c r="B31" s="11" t="s">
        <v>25</v>
      </c>
      <c r="C31" s="10">
        <v>18012</v>
      </c>
      <c r="D31" s="10">
        <v>120628</v>
      </c>
      <c r="E31" s="10">
        <v>40303</v>
      </c>
      <c r="F31" s="10"/>
      <c r="G31" s="10">
        <v>3863</v>
      </c>
      <c r="H31" s="10"/>
      <c r="I31" s="10"/>
      <c r="J31" s="10"/>
      <c r="K31" s="10"/>
      <c r="L31" s="10"/>
      <c r="M31" s="10">
        <f t="shared" si="7"/>
        <v>182806</v>
      </c>
    </row>
    <row r="32" spans="1:13" x14ac:dyDescent="0.25">
      <c r="A32" s="18"/>
      <c r="B32" s="14" t="s">
        <v>15</v>
      </c>
      <c r="C32" s="8">
        <v>5324</v>
      </c>
      <c r="D32" s="9"/>
      <c r="E32" s="9">
        <v>21040</v>
      </c>
      <c r="F32" s="9"/>
      <c r="G32" s="9">
        <v>40032</v>
      </c>
      <c r="H32" s="8"/>
      <c r="I32" s="8"/>
      <c r="J32" s="8"/>
      <c r="K32" s="8"/>
      <c r="L32" s="8"/>
      <c r="M32" s="9">
        <f t="shared" si="7"/>
        <v>66396</v>
      </c>
    </row>
    <row r="33" spans="1:13" x14ac:dyDescent="0.25">
      <c r="A33" s="18"/>
      <c r="B33" s="11" t="s">
        <v>16</v>
      </c>
      <c r="C33" s="10">
        <v>11864</v>
      </c>
      <c r="D33" s="10"/>
      <c r="E33" s="10">
        <v>122717</v>
      </c>
      <c r="F33" s="10">
        <v>5610</v>
      </c>
      <c r="G33" s="10"/>
      <c r="H33" s="10"/>
      <c r="I33" s="10"/>
      <c r="J33" s="10">
        <v>5310</v>
      </c>
      <c r="K33" s="10"/>
      <c r="L33" s="10"/>
      <c r="M33" s="10">
        <f t="shared" si="7"/>
        <v>145501</v>
      </c>
    </row>
    <row r="34" spans="1:13" x14ac:dyDescent="0.25">
      <c r="A34" s="18"/>
      <c r="B34" s="14" t="s">
        <v>27</v>
      </c>
      <c r="C34" s="8">
        <v>83988</v>
      </c>
      <c r="D34" s="9">
        <v>5256</v>
      </c>
      <c r="E34" s="9">
        <v>2624</v>
      </c>
      <c r="F34" s="9">
        <v>3555</v>
      </c>
      <c r="G34" s="9"/>
      <c r="H34" s="8"/>
      <c r="I34" s="8"/>
      <c r="J34" s="8"/>
      <c r="K34" s="8"/>
      <c r="L34" s="8"/>
      <c r="M34" s="9">
        <f t="shared" si="7"/>
        <v>95423</v>
      </c>
    </row>
    <row r="35" spans="1:13" x14ac:dyDescent="0.25">
      <c r="A35" s="18"/>
      <c r="B35" s="11" t="s">
        <v>17</v>
      </c>
      <c r="C35" s="10">
        <v>45857</v>
      </c>
      <c r="D35" s="10">
        <v>432317</v>
      </c>
      <c r="E35" s="10"/>
      <c r="F35" s="10">
        <v>753440</v>
      </c>
      <c r="G35" s="10"/>
      <c r="H35" s="10">
        <v>248996</v>
      </c>
      <c r="I35" s="10"/>
      <c r="J35" s="10"/>
      <c r="K35" s="10"/>
      <c r="L35" s="10"/>
      <c r="M35" s="10">
        <f t="shared" si="7"/>
        <v>1480610</v>
      </c>
    </row>
    <row r="36" spans="1:13" x14ac:dyDescent="0.25">
      <c r="A36" s="18"/>
      <c r="B36" s="11" t="s">
        <v>28</v>
      </c>
      <c r="C36" s="10">
        <v>15610</v>
      </c>
      <c r="D36" s="10">
        <v>16240</v>
      </c>
      <c r="E36" s="10">
        <v>2550</v>
      </c>
      <c r="F36" s="10">
        <v>61723</v>
      </c>
      <c r="G36" s="10">
        <v>19794</v>
      </c>
      <c r="H36" s="10"/>
      <c r="I36" s="10"/>
      <c r="J36" s="10"/>
      <c r="K36" s="10"/>
      <c r="L36" s="10"/>
      <c r="M36" s="10">
        <f t="shared" si="7"/>
        <v>115917</v>
      </c>
    </row>
    <row r="37" spans="1:13" x14ac:dyDescent="0.25">
      <c r="A37" s="18"/>
      <c r="B37" s="11" t="s">
        <v>33</v>
      </c>
      <c r="C37" s="10">
        <v>8877</v>
      </c>
      <c r="D37" s="10"/>
      <c r="E37" s="10"/>
      <c r="F37" s="10">
        <v>5924</v>
      </c>
      <c r="G37" s="10">
        <v>20077</v>
      </c>
      <c r="H37" s="10">
        <v>32112</v>
      </c>
      <c r="I37" s="10"/>
      <c r="J37" s="10"/>
      <c r="K37" s="10"/>
      <c r="L37" s="10"/>
      <c r="M37" s="10">
        <f t="shared" si="7"/>
        <v>66990</v>
      </c>
    </row>
    <row r="38" spans="1:13" x14ac:dyDescent="0.25">
      <c r="A38" s="18"/>
      <c r="B38" s="14" t="s">
        <v>39</v>
      </c>
      <c r="C38" s="8"/>
      <c r="D38" s="9"/>
      <c r="E38" s="9"/>
      <c r="F38" s="9"/>
      <c r="G38" s="9"/>
      <c r="H38" s="8"/>
      <c r="I38" s="8"/>
      <c r="J38" s="8"/>
      <c r="K38" s="8"/>
      <c r="L38" s="8"/>
      <c r="M38" s="9">
        <f t="shared" si="7"/>
        <v>0</v>
      </c>
    </row>
    <row r="39" spans="1:13" x14ac:dyDescent="0.25">
      <c r="A39" s="18"/>
      <c r="B39" s="14" t="s">
        <v>35</v>
      </c>
      <c r="C39" s="8">
        <v>25000</v>
      </c>
      <c r="D39" s="9"/>
      <c r="E39" s="9"/>
      <c r="F39" s="9"/>
      <c r="G39" s="9"/>
      <c r="H39" s="8"/>
      <c r="I39" s="8"/>
      <c r="J39" s="8"/>
      <c r="K39" s="8"/>
      <c r="L39" s="8"/>
      <c r="M39" s="9">
        <f t="shared" si="7"/>
        <v>25000</v>
      </c>
    </row>
    <row r="40" spans="1:13" x14ac:dyDescent="0.25">
      <c r="A40" s="14"/>
      <c r="B40" s="14"/>
      <c r="C40" s="15">
        <f t="shared" ref="C40:M40" si="8">SUM(C13,C20,C26)</f>
        <v>1867878</v>
      </c>
      <c r="D40" s="15">
        <f t="shared" si="8"/>
        <v>3061537</v>
      </c>
      <c r="E40" s="15">
        <f t="shared" si="8"/>
        <v>4023381</v>
      </c>
      <c r="F40" s="15">
        <f t="shared" si="8"/>
        <v>3295904</v>
      </c>
      <c r="G40" s="15">
        <f t="shared" si="8"/>
        <v>941920</v>
      </c>
      <c r="H40" s="15">
        <f t="shared" si="8"/>
        <v>1147190</v>
      </c>
      <c r="I40" s="15">
        <f t="shared" si="8"/>
        <v>391799</v>
      </c>
      <c r="J40" s="15">
        <f t="shared" si="8"/>
        <v>164058</v>
      </c>
      <c r="K40" s="15">
        <f t="shared" si="8"/>
        <v>68403</v>
      </c>
      <c r="L40" s="15">
        <f t="shared" si="8"/>
        <v>28895</v>
      </c>
      <c r="M40" s="15">
        <f t="shared" si="8"/>
        <v>14990965</v>
      </c>
    </row>
  </sheetData>
  <mergeCells count="9">
    <mergeCell ref="A26:A39"/>
    <mergeCell ref="B3:B4"/>
    <mergeCell ref="M3:M4"/>
    <mergeCell ref="A13:A19"/>
    <mergeCell ref="B1:L1"/>
    <mergeCell ref="D3:G3"/>
    <mergeCell ref="I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" formulaRange="1"/>
    <ignoredError sqref="D5:K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2025-01-01T09:34:10Z</cp:lastPrinted>
  <dcterms:created xsi:type="dcterms:W3CDTF">2015-06-05T18:17:20Z</dcterms:created>
  <dcterms:modified xsi:type="dcterms:W3CDTF">2025-02-01T05:59:04Z</dcterms:modified>
</cp:coreProperties>
</file>